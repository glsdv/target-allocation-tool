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Shifts" sheetId="1" state="visible" r:id="rId3"/>
    <sheet name="Settings" sheetId="2" state="visible" r:id="rId4"/>
    <sheet name="Shift_Values" sheetId="3" state="visible" r:id="rId5"/>
  </sheets>
  <definedNames>
    <definedName function="false" hidden="false" name="FriValue" vbProcedure="false">Shift_Values!$G$16:$G$22</definedName>
    <definedName function="false" hidden="false" name="MonValue" vbProcedure="false">Shift_Values!$C$16:$C$22</definedName>
    <definedName function="false" hidden="false" name="RoleFactor" vbProcedure="false">Settings!$B$27:$B$29</definedName>
    <definedName function="false" hidden="false" name="RoleList" vbProcedure="false">Settings!$A$27:$A$29</definedName>
    <definedName function="false" hidden="false" name="SatValue" vbProcedure="false">Shift_Values!$H$16:$H$22</definedName>
    <definedName function="false" hidden="false" name="ShiftList" vbProcedure="false">Settings!$A$16:$A$22</definedName>
    <definedName function="false" hidden="false" name="SunValue" vbProcedure="false">Shift_Values!$B$16:$B$22</definedName>
    <definedName function="false" hidden="false" name="ThuValue" vbProcedure="false">Shift_Values!$F$16:$F$22</definedName>
    <definedName function="false" hidden="false" name="TueValue" vbProcedure="false">Shift_Values!$D$16:$D$22</definedName>
    <definedName function="false" hidden="false" name="WedValue" vbProcedure="false">Shift_Values!$E$16:$E$22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<sst xmlns="http://schemas.openxmlformats.org/spreadsheetml/2006/main" count="189" uniqueCount="89">
  <si>
    <t xml:space="preserve">Store Daily Targets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</si>
  <si>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</si>
  <si>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</si>
  <si>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</si>
  <si>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</si>
  <si>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</si>
  <si>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</si>
  <si>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</si>
  <si>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Weekly Total</t>
  </si>
  <si>
    <t xml:space="preserve">Daily Target →</t>
  </si>
  <si>
    <t xml:space="preserve">Working columns: person weight = shift value x role factor (nothing to edit here)</t>
  </si>
  <si>
    <t xml:space="preserve">Name</t>
  </si>
  <si>
    <t xml:space="preserve">Role</t>
  </si>
  <si>
    <t xml:space="preserve">Shift</t>
  </si>
  <si>
    <t xml:space="preserve">Target</t>
  </si>
  <si>
    <t xml:space="preserve">Week Total</t>
  </si>
  <si>
    <t xml:space="preserve">Role factor</t>
  </si>
  <si>
    <t xml:space="preserve">Sun weight</t>
  </si>
  <si>
    <t xml:space="preserve">Mon weight</t>
  </si>
  <si>
    <t xml:space="preserve">Tue weight</t>
  </si>
  <si>
    <t xml:space="preserve">Wed weight</t>
  </si>
  <si>
    <t xml:space="preserve">Thu weight</t>
  </si>
  <si>
    <t xml:space="preserve">Fri weight</t>
  </si>
  <si>
    <t xml:space="preserve">Sat weight</t>
  </si>
  <si>
    <t xml:space="preserve">Employee 01</t>
  </si>
  <si>
    <t xml:space="preserve">Sales Assistant</t>
  </si>
  <si>
    <t xml:space="preserve">10:00-19:00</t>
  </si>
  <si>
    <t xml:space="preserve">12:30-19:00</t>
  </si>
  <si>
    <t xml:space="preserve">8:00-17:00</t>
  </si>
  <si>
    <t xml:space="preserve">Employee 02</t>
  </si>
  <si>
    <t xml:space="preserve">11:30-20:30</t>
  </si>
  <si>
    <t xml:space="preserve">10:00-17:00</t>
  </si>
  <si>
    <t xml:space="preserve">13:30-20:30</t>
  </si>
  <si>
    <t xml:space="preserve">Employee 03</t>
  </si>
  <si>
    <t xml:space="preserve">10:00-14:30</t>
  </si>
  <si>
    <t xml:space="preserve">Employee 04</t>
  </si>
  <si>
    <t xml:space="preserve">Senior Manager</t>
  </si>
  <si>
    <t xml:space="preserve">Employee 05</t>
  </si>
  <si>
    <t xml:space="preserve">Employee 06</t>
  </si>
  <si>
    <t xml:space="preserve">Employee 07</t>
  </si>
  <si>
    <t xml:space="preserve">Employee 08</t>
  </si>
  <si>
    <t xml:space="preserve">Employee 09</t>
  </si>
  <si>
    <t xml:space="preserve">Employee 10</t>
  </si>
  <si>
    <t xml:space="preserve">Total weight</t>
  </si>
  <si>
    <t xml:space="preserve">Role Factors</t>
  </si>
  <si>
    <t xml:space="preserve">See Settings sheet</t>
  </si>
  <si>
    <t xml:space="preserve">Shift Weights</t>
  </si>
  <si>
    <t xml:space="preserve">Settings - Target Allocation</t>
  </si>
  <si>
    <t xml:space="preserve">Yellow cells = inputs you can change.  Blue/grey cells = calculated, leave alone.</t>
  </si>
  <si>
    <t xml:space="preserve">How targets are calculated</t>
  </si>
  <si>
    <t xml:space="preserve">1. For each hour of a shift, count the fraction of that hour worked (clipped to trading hours) x that hour's weight</t>
  </si>
  <si>
    <t xml:space="preserve">2. Sum those across the shift, then scale down for lunch: lunch minutes / rostered shift minutes</t>
  </si>
  <si>
    <t xml:space="preserve">3. Shift value = that result / standard shift length x role factor = person weight</t>
  </si>
  <si>
    <t xml:space="preserve">4. Target = person weight / total weight of everyone working that day x that day's target</t>
  </si>
  <si>
    <t xml:space="preserve">Trading hours (time outside these hours is not counted)</t>
  </si>
  <si>
    <t xml:space="preserve">Sun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</si>
  <si>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</si>
  <si>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</si>
  <si>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</si>
  <si>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</si>
  <si>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</si>
  <si>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</si>
  <si>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Opens (hour)</t>
  </si>
  <si>
    <t xml:space="preserve">Closes (hour)</t>
  </si>
  <si>
    <t xml:space="preserve">Hours are 24-hour decimals (14.5 = 14:30).</t>
  </si>
  <si>
    <t xml:space="preserve">Shifts (this list also feeds the shift dropdown)</t>
  </si>
  <si>
    <t xml:space="preserve">Start (hour)</t>
  </si>
  <si>
    <t xml:space="preserve">End (hour)</t>
  </si>
  <si>
    <t xml:space="preserve">Hours</t>
  </si>
  <si>
    <t xml:space="preserve">Lunch</t>
  </si>
  <si>
    <t xml:space="preserve">Lunch fraction</t>
  </si>
  <si>
    <t xml:space="preserve">To add a shift, insert a row inside the table and copy the blue formulas down (also inside Shift_Values).</t>
  </si>
  <si>
    <t xml:space="preserve">Role factors</t>
  </si>
  <si>
    <t xml:space="preserve">Factor</t>
  </si>
  <si>
    <t xml:space="preserve">Manager</t>
  </si>
  <si>
    <t xml:space="preserve">A blank or unlisted role counts as x1.00.</t>
  </si>
  <si>
    <t xml:space="preserve">Standard shift length</t>
  </si>
  <si>
    <t xml:space="preserve">Standard shift length (hours)</t>
  </si>
  <si>
    <t xml:space="preserve">Lunch break (deducted proportionally from each shift)</t>
  </si>
  <si>
    <t xml:space="preserve">Shifts longer than (hours)</t>
  </si>
  <si>
    <t xml:space="preserve">Lunch on those shifts (hours)</t>
  </si>
  <si>
    <t xml:space="preserve">Lunch on shorter shifts (hours)</t>
  </si>
  <si>
    <t xml:space="preserve">Hourly weight (edit once you have real hour-by-hour sales data)</t>
  </si>
  <si>
    <t xml:space="preserve">Hour starts at</t>
  </si>
  <si>
    <t xml:space="preserve">Illustrative weights based on published retail-footfall patterns (lunchtime peak, evening pickup, Friday skewing later, Saturday flatter, Sunday front-loaded) - not measured from an actual store. Replace with real derived weights once you run the trading-report analysis project.</t>
  </si>
  <si>
    <t xml:space="preserve">Shift values by day - calculation only</t>
  </si>
  <si>
    <t xml:space="preserve">Nothing to edit here. Grid A sums each shift's hour-by-hour weight inside trading hours; Grid B scales it for lunch and the standard length.</t>
  </si>
  <si>
    <t xml:space="preserve">A. Weighted hours in trading (before lunch)</t>
  </si>
  <si>
    <t xml:space="preserve">B. Shift value = A x (1 - lunch fraction) / standard length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</si>
</sst>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@"/>
    <numFmt numFmtId="167" formatCode="#,##0.00"/>
    <numFmt numFmtId="168" formatCode="0.00"/>
    <numFmt numFmtId="169" formatCode="0.0000"/>
    <numFmt numFmtId="170" formatCode="0.0%"/>
    <numFmt numFmtId="171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i val="true"/>
      <sz val="10"/>
      <color rgb="FF999999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i val="true"/>
      <sz val="9"/>
      <color rgb="FF1F3864"/>
      <name val="Calibri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1F5C99"/>
      </patternFill>
    </fill>
    <fill>
      <patternFill patternType="solid">
        <fgColor rgb="FF2E7D6B"/>
        <bgColor rgb="FF1F6057"/>
      </patternFill>
    </fill>
    <fill>
      <patternFill patternType="solid">
        <fgColor rgb="FFF4B942"/>
        <bgColor rgb="FFFF9900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1F5C99"/>
        <bgColor rgb="FF1F6057"/>
      </patternFill>
    </fill>
    <fill>
      <patternFill patternType="solid">
        <fgColor rgb="FF1F6057"/>
        <bgColor rgb="FF1F5C99"/>
      </patternFill>
    </fill>
    <fill>
      <patternFill patternType="solid">
        <fgColor rgb="FF595959"/>
        <bgColor rgb="FF1F6057"/>
      </patternFill>
    </fill>
    <fill>
      <patternFill patternType="solid">
        <fgColor rgb="FFD6E4F0"/>
        <bgColor rgb="FFD6EDE8"/>
      </patternFill>
    </fill>
    <fill>
      <patternFill patternType="solid">
        <fgColor rgb="FFBDD7EE"/>
        <bgColor rgb="FFC7D4DF"/>
      </patternFill>
    </fill>
    <fill>
      <patternFill patternType="solid">
        <fgColor rgb="FFD6EDE8"/>
        <bgColor rgb="FFD6E4F0"/>
      </patternFill>
    </fill>
    <fill>
      <patternFill patternType="solid">
        <fgColor rgb="FFB8DDD6"/>
        <bgColor rgb="FFC7DCD7"/>
      </patternFill>
    </fill>
    <fill>
      <patternFill patternType="solid">
        <fgColor rgb="FFE8F0E8"/>
        <bgColor rgb="FFF2F2F2"/>
      </patternFill>
    </fill>
    <fill>
      <patternFill patternType="solid">
        <fgColor rgb="FFF2F2F2"/>
        <bgColor rgb="FFE8F0E8"/>
      </patternFill>
    </fill>
    <fill>
      <patternFill patternType="solid">
        <fgColor rgb="FFC7D4DF"/>
        <bgColor rgb="FFC7DCD7"/>
      </patternFill>
    </fill>
    <fill>
      <patternFill patternType="solid">
        <fgColor rgb="FFAFC7DD"/>
        <bgColor rgb="FFABCDC7"/>
      </patternFill>
    </fill>
    <fill>
      <patternFill patternType="solid">
        <fgColor rgb="FFC7DCD7"/>
        <bgColor rgb="FFC7D4DF"/>
      </patternFill>
    </fill>
    <fill>
      <patternFill patternType="solid">
        <fgColor rgb="FFABCDC7"/>
        <bgColor rgb="FFAFC7DD"/>
      </patternFill>
    </fill>
    <fill>
      <patternFill patternType="solid">
        <fgColor rgb="FFD4E6D4"/>
        <bgColor rgb="FFD6EDE8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medium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1F3864"/>
      </right>
      <top style="medium">
        <color rgb="FF1F3864"/>
      </top>
      <bottom style="thin">
        <color rgb="FFBFBFBF"/>
      </bottom>
      <diagonal/>
    </border>
    <border diagonalUp="false" diagonalDown="false">
      <left style="medium">
        <color rgb="FF1F3864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 diagonalUp="false" diagonalDown="false">
      <left style="medium">
        <color rgb="FF1F3864"/>
      </left>
      <right/>
      <top style="thin">
        <color rgb="FFBFBFBF"/>
      </top>
      <bottom style="medium">
        <color rgb="FF1F3864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medium">
        <color rgb="FF1F3864"/>
      </bottom>
      <diagonal/>
    </border>
    <border diagonalUp="false" diagonalDown="false"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1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6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1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1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057"/>
      <rgbColor rgb="FFBFBFBF"/>
      <rgbColor rgb="FF808080"/>
      <rgbColor rgb="FFABCDC7"/>
      <rgbColor rgb="FF993366"/>
      <rgbColor rgb="FFFFF2CC"/>
      <rgbColor rgb="FFD6EDE8"/>
      <rgbColor rgb="FF660066"/>
      <rgbColor rgb="FFFF8080"/>
      <rgbColor rgb="FF1F5C99"/>
      <rgbColor rgb="FFC7D4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E8"/>
      <rgbColor rgb="FFD4E6D4"/>
      <rgbColor rgb="FFF2F2F2"/>
      <rgbColor rgb="FFAFC7DD"/>
      <rgbColor rgb="FFD6E4F0"/>
      <rgbColor rgb="FFBDD7EE"/>
      <rgbColor rgb="FFC7DCD7"/>
      <rgbColor rgb="FF2E75B6"/>
      <rgbColor rgb="FF33CCCC"/>
      <rgbColor rgb="FFB8DDD6"/>
      <rgbColor rgb="FFF4B942"/>
      <rgbColor rgb="FFFF9900"/>
      <rgbColor rgb="FFFF6600"/>
      <rgbColor rgb="FF595959"/>
      <rgbColor rgb="FF999999"/>
      <rgbColor rgb="FF1F3864"/>
      <rgbColor rgb="FF2E7D6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F6" activeCellId="0" sqref="F6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9" min="3" style="1" width="13"/>
    <col collapsed="false" customWidth="true" hidden="false" outlineLevel="0" max="16" min="10" style="1" width="11"/>
    <col collapsed="false" customWidth="true" hidden="false" outlineLevel="0" max="31" min="17" style="1" width="13"/>
  </cols>
  <sheetData>
    <row r="1" customFormat="false" ht="24" hidden="false" customHeight="true" outlineLevel="0" collapsed="false">
      <c r="A1" s="2" t="s">
        <v>0</v>
      </c>
      <c r="B1" s="3"/>
      <c r="C1" s="4" t="s">
        <v>1</v>
      </c>
      <c r="D1" s="4"/>
      <c r="E1" s="5" t="s">
        <v>2</v>
      </c>
      <c r="F1" s="5"/>
      <c r="G1" s="6" t="s">
        <v>3</v>
      </c>
      <c r="H1" s="6"/>
      <c r="I1" s="5" t="s">
        <v>4</v>
      </c>
      <c r="J1" s="5"/>
      <c r="K1" s="6" t="s">
        <v>5</v>
      </c>
      <c r="L1" s="6"/>
      <c r="M1" s="5" t="s">
        <v>6</v>
      </c>
      <c r="N1" s="5"/>
      <c r="O1" s="6" t="s">
        <v>7</v>
      </c>
      <c r="P1" s="6"/>
      <c r="Q1" s="7" t="s">
        <v>8</v>
      </c>
    </row>
    <row r="2" customFormat="false" ht="21.75" hidden="false" customHeight="true" outlineLevel="0" collapsed="false">
      <c r="A2" s="8" t="s">
        <v>9</v>
      </c>
      <c r="B2" s="9"/>
      <c r="C2" s="10" t="n">
        <v>3200</v>
      </c>
      <c r="D2" s="10"/>
      <c r="E2" s="11" t="n">
        <v>4100</v>
      </c>
      <c r="F2" s="11"/>
      <c r="G2" s="11" t="n">
        <v>3900</v>
      </c>
      <c r="H2" s="11"/>
      <c r="I2" s="12" t="n">
        <v>4000</v>
      </c>
      <c r="J2" s="12"/>
      <c r="K2" s="12" t="n">
        <v>4300</v>
      </c>
      <c r="L2" s="12"/>
      <c r="M2" s="12" t="n">
        <v>6800</v>
      </c>
      <c r="N2" s="12"/>
      <c r="O2" s="12" t="n">
        <v>7200</v>
      </c>
      <c r="P2" s="12"/>
      <c r="Q2" s="13" t="n">
        <f aca="false">SUM(C2,E2,G2,I2,K2,M2,O2)</f>
        <v>33500</v>
      </c>
    </row>
    <row r="3" customFormat="false" ht="15" hidden="true" customHeight="true" outlineLevel="0" collapsed="false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R3" s="15" t="s">
        <v>10</v>
      </c>
    </row>
    <row r="4" customFormat="false" ht="24" hidden="false" customHeight="true" outlineLevel="0" collapsed="false">
      <c r="A4" s="16" t="s">
        <v>11</v>
      </c>
      <c r="B4" s="17" t="s">
        <v>12</v>
      </c>
      <c r="C4" s="18" t="s">
        <v>13</v>
      </c>
      <c r="D4" s="19" t="s">
        <v>14</v>
      </c>
      <c r="E4" s="20" t="s">
        <v>13</v>
      </c>
      <c r="F4" s="21" t="s">
        <v>14</v>
      </c>
      <c r="G4" s="22" t="s">
        <v>13</v>
      </c>
      <c r="H4" s="19" t="s">
        <v>14</v>
      </c>
      <c r="I4" s="20" t="s">
        <v>13</v>
      </c>
      <c r="J4" s="21" t="s">
        <v>14</v>
      </c>
      <c r="K4" s="22" t="s">
        <v>13</v>
      </c>
      <c r="L4" s="19" t="s">
        <v>14</v>
      </c>
      <c r="M4" s="20" t="s">
        <v>13</v>
      </c>
      <c r="N4" s="21" t="s">
        <v>14</v>
      </c>
      <c r="O4" s="22" t="s">
        <v>13</v>
      </c>
      <c r="P4" s="23" t="s">
        <v>14</v>
      </c>
      <c r="Q4" s="24" t="s">
        <v>15</v>
      </c>
      <c r="R4" s="25" t="s">
        <v>16</v>
      </c>
      <c r="S4" s="25" t="s">
        <v>17</v>
      </c>
      <c r="T4" s="25" t="s">
        <v>18</v>
      </c>
      <c r="U4" s="25" t="s">
        <v>19</v>
      </c>
      <c r="V4" s="25" t="s">
        <v>20</v>
      </c>
      <c r="W4" s="25" t="s">
        <v>21</v>
      </c>
      <c r="X4" s="25" t="s">
        <v>22</v>
      </c>
      <c r="Y4" s="25" t="s">
        <v>23</v>
      </c>
    </row>
    <row r="5" customFormat="false" ht="18" hidden="false" customHeight="true" outlineLevel="0" collapsed="false">
      <c r="A5" s="26" t="s">
        <v>24</v>
      </c>
      <c r="B5" s="27" t="s">
        <v>25</v>
      </c>
      <c r="C5" s="28"/>
      <c r="D5" s="29" t="n">
        <f aca="false">IF(S5=0,0,S5/S$35*C$2)</f>
        <v>0</v>
      </c>
      <c r="E5" s="30" t="s">
        <v>26</v>
      </c>
      <c r="F5" s="31" t="n">
        <f aca="false">IF(T5=0,0,T5/T$35*E$2)</f>
        <v>705.161592505855</v>
      </c>
      <c r="G5" s="32"/>
      <c r="H5" s="29" t="n">
        <f aca="false">IF(U5=0,0,U5/U$35*G$2)</f>
        <v>0</v>
      </c>
      <c r="I5" s="30"/>
      <c r="J5" s="31" t="n">
        <f aca="false">IF(V5=0,0,V5/V$35*I$2)</f>
        <v>0</v>
      </c>
      <c r="K5" s="32" t="s">
        <v>27</v>
      </c>
      <c r="L5" s="29" t="n">
        <f aca="false">IF(W5=0,0,W5/W$35*K$2)</f>
        <v>515.60205643097</v>
      </c>
      <c r="M5" s="30"/>
      <c r="N5" s="31" t="n">
        <f aca="false">IF(X5=0,0,X5/X$35*M$2)</f>
        <v>0</v>
      </c>
      <c r="O5" s="32" t="s">
        <v>28</v>
      </c>
      <c r="P5" s="33" t="n">
        <f aca="false">IF(Y5=0,0,Y5/Y$35*O$2)</f>
        <v>719.399735552287</v>
      </c>
      <c r="Q5" s="34" t="n">
        <f aca="false">SUM(D5,F5,H5,J5,L5,N5,P5)</f>
        <v>1940.16338448911</v>
      </c>
      <c r="R5" s="35" t="n">
        <f aca="false">IFERROR(INDEX(RoleFactor,MATCH(B5,RoleList,0)),1)</f>
        <v>1</v>
      </c>
      <c r="S5" s="36" t="n">
        <f aca="false">IF(C5="",0,INDEX(SunValue,MATCH(C5,ShiftList,0))*$R5)</f>
        <v>0</v>
      </c>
      <c r="T5" s="36" t="n">
        <f aca="false">IF(E5="",0,INDEX(MonValue,MATCH(E5,ShiftList,0))*$R5)</f>
        <v>1.02</v>
      </c>
      <c r="U5" s="36" t="n">
        <f aca="false">IF(G5="",0,INDEX(TueValue,MATCH(G5,ShiftList,0))*$R5)</f>
        <v>0</v>
      </c>
      <c r="V5" s="36" t="n">
        <f aca="false">IF(I5="",0,INDEX(WedValue,MATCH(I5,ShiftList,0))*$R5)</f>
        <v>0</v>
      </c>
      <c r="W5" s="36" t="n">
        <f aca="false">IF(K5="",0,INDEX(ThuValue,MATCH(K5,ShiftList,0))*$R5)</f>
        <v>0.790961538461539</v>
      </c>
      <c r="X5" s="36" t="n">
        <f aca="false">IF(M5="",0,INDEX(FriValue,MATCH(M5,ShiftList,0))*$R5)</f>
        <v>0</v>
      </c>
      <c r="Y5" s="36" t="n">
        <f aca="false">IF(O5="",0,INDEX(SatValue,MATCH(O5,ShiftList,0))*$R5)</f>
        <v>0.84</v>
      </c>
      <c r="AF5" s="1"/>
    </row>
    <row r="6" customFormat="false" ht="18" hidden="false" customHeight="true" outlineLevel="0" collapsed="false">
      <c r="A6" s="37" t="s">
        <v>29</v>
      </c>
      <c r="B6" s="38" t="s">
        <v>25</v>
      </c>
      <c r="C6" s="39"/>
      <c r="D6" s="40" t="n">
        <f aca="false">IF(S6=0,0,S6/S$35*C$2)</f>
        <v>0</v>
      </c>
      <c r="E6" s="41" t="s">
        <v>28</v>
      </c>
      <c r="F6" s="42" t="n">
        <f aca="false">IF(T6=0,0,T6/T$35*E$2)</f>
        <v>540.777517564403</v>
      </c>
      <c r="G6" s="43" t="s">
        <v>30</v>
      </c>
      <c r="H6" s="40" t="n">
        <f aca="false">IF(U6=0,0,U6/U$35*G$2)</f>
        <v>839.871655246213</v>
      </c>
      <c r="I6" s="41" t="s">
        <v>27</v>
      </c>
      <c r="J6" s="42" t="n">
        <f aca="false">IF(V6=0,0,V6/V$35*I$2)</f>
        <v>540.61928918366</v>
      </c>
      <c r="K6" s="43" t="s">
        <v>31</v>
      </c>
      <c r="L6" s="40" t="n">
        <f aca="false">IF(W6=0,0,W6/W$35*K$2)</f>
        <v>517.536168552624</v>
      </c>
      <c r="M6" s="41" t="s">
        <v>32</v>
      </c>
      <c r="N6" s="42" t="n">
        <f aca="false">IF(X6=0,0,X6/X$35*M$2)</f>
        <v>987.260111050705</v>
      </c>
      <c r="O6" s="43" t="s">
        <v>32</v>
      </c>
      <c r="P6" s="44" t="n">
        <f aca="false">IF(Y6=0,0,Y6/Y$35*O$2)</f>
        <v>606.878826659303</v>
      </c>
      <c r="Q6" s="45" t="n">
        <f aca="false">SUM(D6,F6,H6,J6,L6,N6,P6)</f>
        <v>4032.94356825691</v>
      </c>
      <c r="R6" s="35" t="n">
        <f aca="false">IFERROR(INDEX(RoleFactor,MATCH(B6,RoleList,0)),1)</f>
        <v>1</v>
      </c>
      <c r="S6" s="36" t="n">
        <f aca="false">IF(C6="",0,INDEX(SunValue,MATCH(C6,ShiftList,0))*$R6)</f>
        <v>0</v>
      </c>
      <c r="T6" s="36" t="n">
        <f aca="false">IF(E6="",0,INDEX(MonValue,MATCH(E6,ShiftList,0))*$R6)</f>
        <v>0.782222222222222</v>
      </c>
      <c r="U6" s="36" t="n">
        <f aca="false">IF(G6="",0,INDEX(TueValue,MATCH(G6,ShiftList,0))*$R6)</f>
        <v>0.968888888888889</v>
      </c>
      <c r="V6" s="36" t="n">
        <f aca="false">IF(I6="",0,INDEX(WedValue,MATCH(I6,ShiftList,0))*$R6)</f>
        <v>0.789807692307692</v>
      </c>
      <c r="W6" s="36" t="n">
        <f aca="false">IF(K6="",0,INDEX(ThuValue,MATCH(K6,ShiftList,0))*$R6)</f>
        <v>0.793928571428571</v>
      </c>
      <c r="X6" s="36" t="n">
        <f aca="false">IF(M6="",0,INDEX(FriValue,MATCH(M6,ShiftList,0))*$R6)</f>
        <v>0.792767857142857</v>
      </c>
      <c r="Y6" s="36" t="n">
        <f aca="false">IF(O6="",0,INDEX(SatValue,MATCH(O6,ShiftList,0))*$R6)</f>
        <v>0.708616071428572</v>
      </c>
      <c r="AF6" s="1"/>
    </row>
    <row r="7" customFormat="false" ht="18" hidden="false" customHeight="true" outlineLevel="0" collapsed="false">
      <c r="A7" s="26" t="s">
        <v>33</v>
      </c>
      <c r="B7" s="27" t="s">
        <v>25</v>
      </c>
      <c r="C7" s="28" t="s">
        <v>34</v>
      </c>
      <c r="D7" s="29" t="n">
        <f aca="false">IF(S7=0,0,S7/S$35*C$2)</f>
        <v>300.175104291714</v>
      </c>
      <c r="E7" s="30" t="s">
        <v>26</v>
      </c>
      <c r="F7" s="31" t="n">
        <f aca="false">IF(T7=0,0,T7/T$35*E$2)</f>
        <v>705.161592505855</v>
      </c>
      <c r="G7" s="32" t="s">
        <v>34</v>
      </c>
      <c r="H7" s="29" t="n">
        <f aca="false">IF(U7=0,0,U7/U$35*G$2)</f>
        <v>454.127850285079</v>
      </c>
      <c r="I7" s="30"/>
      <c r="J7" s="31" t="n">
        <f aca="false">IF(V7=0,0,V7/V$35*I$2)</f>
        <v>0</v>
      </c>
      <c r="K7" s="32" t="s">
        <v>34</v>
      </c>
      <c r="L7" s="29" t="n">
        <f aca="false">IF(W7=0,0,W7/W$35*K$2)</f>
        <v>325.933709389866</v>
      </c>
      <c r="M7" s="30" t="s">
        <v>27</v>
      </c>
      <c r="N7" s="31" t="n">
        <f aca="false">IF(X7=0,0,X7/X$35*M$2)</f>
        <v>985.010642475707</v>
      </c>
      <c r="O7" s="32" t="s">
        <v>28</v>
      </c>
      <c r="P7" s="33" t="n">
        <f aca="false">IF(Y7=0,0,Y7/Y$35*O$2)</f>
        <v>719.399735552287</v>
      </c>
      <c r="Q7" s="34" t="n">
        <f aca="false">SUM(D7,F7,H7,J7,L7,N7,P7)</f>
        <v>3489.80863450051</v>
      </c>
      <c r="R7" s="35" t="n">
        <f aca="false">IFERROR(INDEX(RoleFactor,MATCH(B7,RoleList,0)),1)</f>
        <v>1</v>
      </c>
      <c r="S7" s="36" t="n">
        <f aca="false">IF(C7="",0,INDEX(SunValue,MATCH(C7,ShiftList,0))*$R7)</f>
        <v>0.333333333333333</v>
      </c>
      <c r="T7" s="36" t="n">
        <f aca="false">IF(E7="",0,INDEX(MonValue,MATCH(E7,ShiftList,0))*$R7)</f>
        <v>1.02</v>
      </c>
      <c r="U7" s="36" t="n">
        <f aca="false">IF(G7="",0,INDEX(TueValue,MATCH(G7,ShiftList,0))*$R7)</f>
        <v>0.523888888888889</v>
      </c>
      <c r="V7" s="36" t="n">
        <f aca="false">IF(I7="",0,INDEX(WedValue,MATCH(I7,ShiftList,0))*$R7)</f>
        <v>0</v>
      </c>
      <c r="W7" s="36" t="n">
        <f aca="false">IF(K7="",0,INDEX(ThuValue,MATCH(K7,ShiftList,0))*$R7)</f>
        <v>0.5</v>
      </c>
      <c r="X7" s="36" t="n">
        <f aca="false">IF(M7="",0,INDEX(FriValue,MATCH(M7,ShiftList,0))*$R7)</f>
        <v>0.790961538461539</v>
      </c>
      <c r="Y7" s="36" t="n">
        <f aca="false">IF(O7="",0,INDEX(SatValue,MATCH(O7,ShiftList,0))*$R7)</f>
        <v>0.84</v>
      </c>
      <c r="AF7" s="1"/>
    </row>
    <row r="8" customFormat="false" ht="18" hidden="false" customHeight="true" outlineLevel="0" collapsed="false">
      <c r="A8" s="37" t="s">
        <v>35</v>
      </c>
      <c r="B8" s="38" t="s">
        <v>36</v>
      </c>
      <c r="C8" s="39" t="s">
        <v>31</v>
      </c>
      <c r="D8" s="40" t="n">
        <f aca="false">IF(S8=0,0,S8/S$35*C$2)</f>
        <v>444.85950456032</v>
      </c>
      <c r="E8" s="41"/>
      <c r="F8" s="42" t="n">
        <f aca="false">IF(T8=0,0,T8/T$35*E$2)</f>
        <v>0</v>
      </c>
      <c r="G8" s="43" t="s">
        <v>30</v>
      </c>
      <c r="H8" s="40" t="n">
        <f aca="false">IF(U8=0,0,U8/U$35*G$2)</f>
        <v>671.89732419697</v>
      </c>
      <c r="I8" s="41" t="s">
        <v>32</v>
      </c>
      <c r="J8" s="42" t="n">
        <f aca="false">IF(V8=0,0,V8/V$35*I$2)</f>
        <v>410.599118420376</v>
      </c>
      <c r="K8" s="43" t="s">
        <v>26</v>
      </c>
      <c r="L8" s="40" t="n">
        <f aca="false">IF(W8=0,0,W8/W$35*K$2)</f>
        <v>527.288312079606</v>
      </c>
      <c r="M8" s="41" t="s">
        <v>28</v>
      </c>
      <c r="N8" s="42" t="n">
        <f aca="false">IF(X8=0,0,X8/X$35*M$2)</f>
        <v>722.846721796042</v>
      </c>
      <c r="O8" s="43" t="s">
        <v>32</v>
      </c>
      <c r="P8" s="44" t="n">
        <f aca="false">IF(Y8=0,0,Y8/Y$35*O$2)</f>
        <v>485.503061327443</v>
      </c>
      <c r="Q8" s="45" t="n">
        <f aca="false">SUM(D8,F8,H8,J8,L8,N8,P8)</f>
        <v>3262.99404238076</v>
      </c>
      <c r="R8" s="35" t="n">
        <f aca="false">IFERROR(INDEX(RoleFactor,MATCH(B8,RoleList,0)),1)</f>
        <v>0.8</v>
      </c>
      <c r="S8" s="36" t="n">
        <f aca="false">IF(C8="",0,INDEX(SunValue,MATCH(C8,ShiftList,0))*$R8)</f>
        <v>0.494</v>
      </c>
      <c r="T8" s="36" t="n">
        <f aca="false">IF(E8="",0,INDEX(MonValue,MATCH(E8,ShiftList,0))*$R8)</f>
        <v>0</v>
      </c>
      <c r="U8" s="36" t="n">
        <f aca="false">IF(G8="",0,INDEX(TueValue,MATCH(G8,ShiftList,0))*$R8)</f>
        <v>0.775111111111111</v>
      </c>
      <c r="V8" s="36" t="n">
        <f aca="false">IF(I8="",0,INDEX(WedValue,MATCH(I8,ShiftList,0))*$R8)</f>
        <v>0.599857142857143</v>
      </c>
      <c r="W8" s="36" t="n">
        <f aca="false">IF(K8="",0,INDEX(ThuValue,MATCH(K8,ShiftList,0))*$R8)</f>
        <v>0.808888888888889</v>
      </c>
      <c r="X8" s="36" t="n">
        <f aca="false">IF(M8="",0,INDEX(FriValue,MATCH(M8,ShiftList,0))*$R8)</f>
        <v>0.580444444444444</v>
      </c>
      <c r="Y8" s="36" t="n">
        <f aca="false">IF(O8="",0,INDEX(SatValue,MATCH(O8,ShiftList,0))*$R8)</f>
        <v>0.566892857142857</v>
      </c>
      <c r="AF8" s="1"/>
    </row>
    <row r="9" customFormat="false" ht="18" hidden="false" customHeight="true" outlineLevel="0" collapsed="false">
      <c r="A9" s="26" t="s">
        <v>37</v>
      </c>
      <c r="B9" s="27" t="s">
        <v>25</v>
      </c>
      <c r="C9" s="28" t="s">
        <v>32</v>
      </c>
      <c r="D9" s="29" t="n">
        <f aca="false">IF(S9=0,0,S9/S$35*C$2)</f>
        <v>432.211948157172</v>
      </c>
      <c r="E9" s="30" t="s">
        <v>28</v>
      </c>
      <c r="F9" s="31" t="n">
        <f aca="false">IF(T9=0,0,T9/T$35*E$2)</f>
        <v>540.777517564403</v>
      </c>
      <c r="G9" s="32" t="s">
        <v>31</v>
      </c>
      <c r="H9" s="29" t="n">
        <f aca="false">IF(U9=0,0,U9/U$35*G$2)</f>
        <v>708.332123395725</v>
      </c>
      <c r="I9" s="30" t="s">
        <v>34</v>
      </c>
      <c r="J9" s="31" t="n">
        <f aca="false">IF(V9=0,0,V9/V$35*I$2)</f>
        <v>358.599240651597</v>
      </c>
      <c r="K9" s="32"/>
      <c r="L9" s="29" t="n">
        <f aca="false">IF(W9=0,0,W9/W$35*K$2)</f>
        <v>0</v>
      </c>
      <c r="M9" s="30" t="s">
        <v>30</v>
      </c>
      <c r="N9" s="31" t="n">
        <f aca="false">IF(X9=0,0,X9/X$35*M$2)</f>
        <v>1221.11836138018</v>
      </c>
      <c r="O9" s="32" t="s">
        <v>30</v>
      </c>
      <c r="P9" s="33" t="n">
        <f aca="false">IF(Y9=0,0,Y9/Y$35*O$2)</f>
        <v>800.760419930224</v>
      </c>
      <c r="Q9" s="34" t="n">
        <f aca="false">SUM(D9,F9,H9,J9,L9,N9,P9)</f>
        <v>4061.7996110793</v>
      </c>
      <c r="R9" s="35" t="n">
        <f aca="false">IFERROR(INDEX(RoleFactor,MATCH(B9,RoleList,0)),1)</f>
        <v>1</v>
      </c>
      <c r="S9" s="36" t="n">
        <f aca="false">IF(C9="",0,INDEX(SunValue,MATCH(C9,ShiftList,0))*$R9)</f>
        <v>0.479955357142857</v>
      </c>
      <c r="T9" s="36" t="n">
        <f aca="false">IF(E9="",0,INDEX(MonValue,MATCH(E9,ShiftList,0))*$R9)</f>
        <v>0.782222222222222</v>
      </c>
      <c r="U9" s="36" t="n">
        <f aca="false">IF(G9="",0,INDEX(TueValue,MATCH(G9,ShiftList,0))*$R9)</f>
        <v>0.817142857142857</v>
      </c>
      <c r="V9" s="36" t="n">
        <f aca="false">IF(I9="",0,INDEX(WedValue,MATCH(I9,ShiftList,0))*$R9)</f>
        <v>0.523888888888889</v>
      </c>
      <c r="W9" s="36" t="n">
        <f aca="false">IF(K9="",0,INDEX(ThuValue,MATCH(K9,ShiftList,0))*$R9)</f>
        <v>0</v>
      </c>
      <c r="X9" s="36" t="n">
        <f aca="false">IF(M9="",0,INDEX(FriValue,MATCH(M9,ShiftList,0))*$R9)</f>
        <v>0.980555555555555</v>
      </c>
      <c r="Y9" s="36" t="n">
        <f aca="false">IF(O9="",0,INDEX(SatValue,MATCH(O9,ShiftList,0))*$R9)</f>
        <v>0.935</v>
      </c>
      <c r="AF9" s="1"/>
    </row>
    <row r="10" customFormat="false" ht="18" hidden="false" customHeight="true" outlineLevel="0" collapsed="false">
      <c r="A10" s="37" t="s">
        <v>38</v>
      </c>
      <c r="B10" s="38" t="s">
        <v>25</v>
      </c>
      <c r="C10" s="39" t="s">
        <v>26</v>
      </c>
      <c r="D10" s="40" t="n">
        <f aca="false">IF(S10=0,0,S10/S$35*C$2)</f>
        <v>600.350208583428</v>
      </c>
      <c r="E10" s="41" t="s">
        <v>26</v>
      </c>
      <c r="F10" s="42" t="n">
        <f aca="false">IF(T10=0,0,T10/T$35*E$2)</f>
        <v>705.161592505855</v>
      </c>
      <c r="G10" s="43"/>
      <c r="H10" s="40" t="n">
        <f aca="false">IF(U10=0,0,U10/U$35*G$2)</f>
        <v>0</v>
      </c>
      <c r="I10" s="41" t="s">
        <v>30</v>
      </c>
      <c r="J10" s="42" t="n">
        <f aca="false">IF(V10=0,0,V10/V$35*I$2)</f>
        <v>663.19944400465</v>
      </c>
      <c r="K10" s="43" t="s">
        <v>26</v>
      </c>
      <c r="L10" s="40" t="n">
        <f aca="false">IF(W10=0,0,W10/W$35*K$2)</f>
        <v>659.110390099508</v>
      </c>
      <c r="M10" s="41" t="s">
        <v>32</v>
      </c>
      <c r="N10" s="42" t="n">
        <f aca="false">IF(X10=0,0,X10/X$35*M$2)</f>
        <v>987.260111050705</v>
      </c>
      <c r="O10" s="43" t="s">
        <v>28</v>
      </c>
      <c r="P10" s="44" t="n">
        <f aca="false">IF(Y10=0,0,Y10/Y$35*O$2)</f>
        <v>719.399735552287</v>
      </c>
      <c r="Q10" s="45" t="n">
        <f aca="false">SUM(D10,F10,H10,J10,L10,N10,P10)</f>
        <v>4334.48148179643</v>
      </c>
      <c r="R10" s="35" t="n">
        <f aca="false">IFERROR(INDEX(RoleFactor,MATCH(B10,RoleList,0)),1)</f>
        <v>1</v>
      </c>
      <c r="S10" s="36" t="n">
        <f aca="false">IF(C10="",0,INDEX(SunValue,MATCH(C10,ShiftList,0))*$R10)</f>
        <v>0.666666666666667</v>
      </c>
      <c r="T10" s="36" t="n">
        <f aca="false">IF(E10="",0,INDEX(MonValue,MATCH(E10,ShiftList,0))*$R10)</f>
        <v>1.02</v>
      </c>
      <c r="U10" s="36" t="n">
        <f aca="false">IF(G10="",0,INDEX(TueValue,MATCH(G10,ShiftList,0))*$R10)</f>
        <v>0</v>
      </c>
      <c r="V10" s="36" t="n">
        <f aca="false">IF(I10="",0,INDEX(WedValue,MATCH(I10,ShiftList,0))*$R10)</f>
        <v>0.968888888888889</v>
      </c>
      <c r="W10" s="36" t="n">
        <f aca="false">IF(K10="",0,INDEX(ThuValue,MATCH(K10,ShiftList,0))*$R10)</f>
        <v>1.01111111111111</v>
      </c>
      <c r="X10" s="36" t="n">
        <f aca="false">IF(M10="",0,INDEX(FriValue,MATCH(M10,ShiftList,0))*$R10)</f>
        <v>0.792767857142857</v>
      </c>
      <c r="Y10" s="36" t="n">
        <f aca="false">IF(O10="",0,INDEX(SatValue,MATCH(O10,ShiftList,0))*$R10)</f>
        <v>0.84</v>
      </c>
      <c r="AF10" s="1"/>
    </row>
    <row r="11" customFormat="false" ht="18" hidden="false" customHeight="true" outlineLevel="0" collapsed="false">
      <c r="A11" s="26" t="s">
        <v>39</v>
      </c>
      <c r="B11" s="27" t="s">
        <v>25</v>
      </c>
      <c r="C11" s="28" t="s">
        <v>32</v>
      </c>
      <c r="D11" s="29" t="n">
        <f aca="false">IF(S11=0,0,S11/S$35*C$2)</f>
        <v>432.211948157172</v>
      </c>
      <c r="E11" s="30" t="s">
        <v>34</v>
      </c>
      <c r="F11" s="31" t="n">
        <f aca="false">IF(T11=0,0,T11/T$35*E$2)</f>
        <v>362.182669789227</v>
      </c>
      <c r="G11" s="32"/>
      <c r="H11" s="29" t="n">
        <f aca="false">IF(U11=0,0,U11/U$35*G$2)</f>
        <v>0</v>
      </c>
      <c r="I11" s="30" t="s">
        <v>27</v>
      </c>
      <c r="J11" s="31" t="n">
        <f aca="false">IF(V11=0,0,V11/V$35*I$2)</f>
        <v>540.61928918366</v>
      </c>
      <c r="K11" s="32" t="s">
        <v>34</v>
      </c>
      <c r="L11" s="29" t="n">
        <f aca="false">IF(W11=0,0,W11/W$35*K$2)</f>
        <v>325.933709389866</v>
      </c>
      <c r="M11" s="30"/>
      <c r="N11" s="31" t="n">
        <f aca="false">IF(X11=0,0,X11/X$35*M$2)</f>
        <v>0</v>
      </c>
      <c r="O11" s="32" t="s">
        <v>30</v>
      </c>
      <c r="P11" s="33" t="n">
        <f aca="false">IF(Y11=0,0,Y11/Y$35*O$2)</f>
        <v>800.760419930224</v>
      </c>
      <c r="Q11" s="34" t="n">
        <f aca="false">SUM(D11,F11,H11,J11,L11,N11,P11)</f>
        <v>2461.70803645015</v>
      </c>
      <c r="R11" s="35" t="n">
        <f aca="false">IFERROR(INDEX(RoleFactor,MATCH(B11,RoleList,0)),1)</f>
        <v>1</v>
      </c>
      <c r="S11" s="36" t="n">
        <f aca="false">IF(C11="",0,INDEX(SunValue,MATCH(C11,ShiftList,0))*$R11)</f>
        <v>0.479955357142857</v>
      </c>
      <c r="T11" s="36" t="n">
        <f aca="false">IF(E11="",0,INDEX(MonValue,MATCH(E11,ShiftList,0))*$R11)</f>
        <v>0.523888888888889</v>
      </c>
      <c r="U11" s="36" t="n">
        <f aca="false">IF(G11="",0,INDEX(TueValue,MATCH(G11,ShiftList,0))*$R11)</f>
        <v>0</v>
      </c>
      <c r="V11" s="36" t="n">
        <f aca="false">IF(I11="",0,INDEX(WedValue,MATCH(I11,ShiftList,0))*$R11)</f>
        <v>0.789807692307692</v>
      </c>
      <c r="W11" s="36" t="n">
        <f aca="false">IF(K11="",0,INDEX(ThuValue,MATCH(K11,ShiftList,0))*$R11)</f>
        <v>0.5</v>
      </c>
      <c r="X11" s="36" t="n">
        <f aca="false">IF(M11="",0,INDEX(FriValue,MATCH(M11,ShiftList,0))*$R11)</f>
        <v>0</v>
      </c>
      <c r="Y11" s="36" t="n">
        <f aca="false">IF(O11="",0,INDEX(SatValue,MATCH(O11,ShiftList,0))*$R11)</f>
        <v>0.935</v>
      </c>
      <c r="AF11" s="1"/>
    </row>
    <row r="12" customFormat="false" ht="18" hidden="false" customHeight="true" outlineLevel="0" collapsed="false">
      <c r="A12" s="37" t="s">
        <v>40</v>
      </c>
      <c r="B12" s="38" t="s">
        <v>36</v>
      </c>
      <c r="C12" s="39"/>
      <c r="D12" s="40" t="n">
        <f aca="false">IF(S12=0,0,S12/S$35*C$2)</f>
        <v>0</v>
      </c>
      <c r="E12" s="41"/>
      <c r="F12" s="42" t="n">
        <f aca="false">IF(T12=0,0,T12/T$35*E$2)</f>
        <v>0</v>
      </c>
      <c r="G12" s="43" t="s">
        <v>27</v>
      </c>
      <c r="H12" s="40" t="n">
        <f aca="false">IF(U12=0,0,U12/U$35*G$2)</f>
        <v>547.709527044209</v>
      </c>
      <c r="I12" s="41" t="s">
        <v>27</v>
      </c>
      <c r="J12" s="42" t="n">
        <f aca="false">IF(V12=0,0,V12/V$35*I$2)</f>
        <v>432.495431346928</v>
      </c>
      <c r="K12" s="43" t="s">
        <v>27</v>
      </c>
      <c r="L12" s="40" t="n">
        <f aca="false">IF(W12=0,0,W12/W$35*K$2)</f>
        <v>412.481645144776</v>
      </c>
      <c r="M12" s="41" t="s">
        <v>26</v>
      </c>
      <c r="N12" s="42" t="n">
        <f aca="false">IF(X12=0,0,X12/X$35*M$2)</f>
        <v>992.945650001607</v>
      </c>
      <c r="O12" s="43" t="s">
        <v>26</v>
      </c>
      <c r="P12" s="44" t="n">
        <f aca="false">IF(Y12=0,0,Y12/Y$35*O$2)</f>
        <v>709.503231253684</v>
      </c>
      <c r="Q12" s="45" t="n">
        <f aca="false">SUM(D12,F12,H12,J12,L12,N12,P12)</f>
        <v>3095.1354847912</v>
      </c>
      <c r="R12" s="35" t="n">
        <f aca="false">IFERROR(INDEX(RoleFactor,MATCH(B12,RoleList,0)),1)</f>
        <v>0.8</v>
      </c>
      <c r="S12" s="36" t="n">
        <f aca="false">IF(C12="",0,INDEX(SunValue,MATCH(C12,ShiftList,0))*$R12)</f>
        <v>0</v>
      </c>
      <c r="T12" s="36" t="n">
        <f aca="false">IF(E12="",0,INDEX(MonValue,MATCH(E12,ShiftList,0))*$R12)</f>
        <v>0</v>
      </c>
      <c r="U12" s="36" t="n">
        <f aca="false">IF(G12="",0,INDEX(TueValue,MATCH(G12,ShiftList,0))*$R12)</f>
        <v>0.631846153846154</v>
      </c>
      <c r="V12" s="36" t="n">
        <f aca="false">IF(I12="",0,INDEX(WedValue,MATCH(I12,ShiftList,0))*$R12)</f>
        <v>0.631846153846154</v>
      </c>
      <c r="W12" s="36" t="n">
        <f aca="false">IF(K12="",0,INDEX(ThuValue,MATCH(K12,ShiftList,0))*$R12)</f>
        <v>0.632769230769231</v>
      </c>
      <c r="X12" s="36" t="n">
        <f aca="false">IF(M12="",0,INDEX(FriValue,MATCH(M12,ShiftList,0))*$R12)</f>
        <v>0.797333333333333</v>
      </c>
      <c r="Y12" s="36" t="n">
        <f aca="false">IF(O12="",0,INDEX(SatValue,MATCH(O12,ShiftList,0))*$R12)</f>
        <v>0.828444444444445</v>
      </c>
      <c r="AF12" s="1"/>
    </row>
    <row r="13" customFormat="false" ht="18" hidden="false" customHeight="true" outlineLevel="0" collapsed="false">
      <c r="A13" s="26" t="s">
        <v>41</v>
      </c>
      <c r="B13" s="27"/>
      <c r="C13" s="28" t="s">
        <v>32</v>
      </c>
      <c r="D13" s="29" t="n">
        <f aca="false">IF(S13=0,0,S13/S$35*C$2)</f>
        <v>432.211948157172</v>
      </c>
      <c r="E13" s="30"/>
      <c r="F13" s="31" t="n">
        <f aca="false">IF(T13=0,0,T13/T$35*E$2)</f>
        <v>0</v>
      </c>
      <c r="G13" s="32"/>
      <c r="H13" s="29" t="n">
        <f aca="false">IF(U13=0,0,U13/U$35*G$2)</f>
        <v>0</v>
      </c>
      <c r="I13" s="30" t="s">
        <v>32</v>
      </c>
      <c r="J13" s="31" t="n">
        <f aca="false">IF(V13=0,0,V13/V$35*I$2)</f>
        <v>513.24889802547</v>
      </c>
      <c r="K13" s="32" t="s">
        <v>27</v>
      </c>
      <c r="L13" s="29" t="n">
        <f aca="false">IF(W13=0,0,W13/W$35*K$2)</f>
        <v>515.60205643097</v>
      </c>
      <c r="M13" s="30"/>
      <c r="N13" s="31" t="n">
        <f aca="false">IF(X13=0,0,X13/X$35*M$2)</f>
        <v>0</v>
      </c>
      <c r="O13" s="32" t="s">
        <v>31</v>
      </c>
      <c r="P13" s="33" t="n">
        <f aca="false">IF(Y13=0,0,Y13/Y$35*O$2)</f>
        <v>751.515795175157</v>
      </c>
      <c r="Q13" s="34" t="n">
        <f aca="false">SUM(D13,F13,H13,J13,L13,N13,P13)</f>
        <v>2212.57869778877</v>
      </c>
      <c r="R13" s="35" t="n">
        <f aca="false">IFERROR(INDEX(RoleFactor,MATCH(B13,RoleList,0)),1)</f>
        <v>1</v>
      </c>
      <c r="S13" s="36" t="n">
        <f aca="false">IF(C13="",0,INDEX(SunValue,MATCH(C13,ShiftList,0))*$R13)</f>
        <v>0.479955357142857</v>
      </c>
      <c r="T13" s="36" t="n">
        <f aca="false">IF(E13="",0,INDEX(MonValue,MATCH(E13,ShiftList,0))*$R13)</f>
        <v>0</v>
      </c>
      <c r="U13" s="36" t="n">
        <f aca="false">IF(G13="",0,INDEX(TueValue,MATCH(G13,ShiftList,0))*$R13)</f>
        <v>0</v>
      </c>
      <c r="V13" s="36" t="n">
        <f aca="false">IF(I13="",0,INDEX(WedValue,MATCH(I13,ShiftList,0))*$R13)</f>
        <v>0.749821428571429</v>
      </c>
      <c r="W13" s="36" t="n">
        <f aca="false">IF(K13="",0,INDEX(ThuValue,MATCH(K13,ShiftList,0))*$R13)</f>
        <v>0.790961538461539</v>
      </c>
      <c r="X13" s="36" t="n">
        <f aca="false">IF(M13="",0,INDEX(FriValue,MATCH(M13,ShiftList,0))*$R13)</f>
        <v>0</v>
      </c>
      <c r="Y13" s="36" t="n">
        <f aca="false">IF(O13="",0,INDEX(SatValue,MATCH(O13,ShiftList,0))*$R13)</f>
        <v>0.8775</v>
      </c>
      <c r="AF13" s="1"/>
    </row>
    <row r="14" customFormat="false" ht="18" hidden="false" customHeight="true" outlineLevel="0" collapsed="false">
      <c r="A14" s="37" t="s">
        <v>42</v>
      </c>
      <c r="B14" s="38"/>
      <c r="C14" s="39" t="s">
        <v>27</v>
      </c>
      <c r="D14" s="40" t="n">
        <f aca="false">IF(S14=0,0,S14/S$35*C$2)</f>
        <v>557.979338093021</v>
      </c>
      <c r="E14" s="41" t="s">
        <v>28</v>
      </c>
      <c r="F14" s="42" t="n">
        <f aca="false">IF(T14=0,0,T14/T$35*E$2)</f>
        <v>540.777517564403</v>
      </c>
      <c r="G14" s="43" t="s">
        <v>28</v>
      </c>
      <c r="H14" s="40" t="n">
        <f aca="false">IF(U14=0,0,U14/U$35*G$2)</f>
        <v>678.061519831805</v>
      </c>
      <c r="I14" s="41" t="s">
        <v>27</v>
      </c>
      <c r="J14" s="42" t="n">
        <f aca="false">IF(V14=0,0,V14/V$35*I$2)</f>
        <v>540.61928918366</v>
      </c>
      <c r="K14" s="43" t="s">
        <v>32</v>
      </c>
      <c r="L14" s="40" t="n">
        <f aca="false">IF(W14=0,0,W14/W$35*K$2)</f>
        <v>500.511952481814</v>
      </c>
      <c r="M14" s="41" t="s">
        <v>28</v>
      </c>
      <c r="N14" s="42" t="n">
        <f aca="false">IF(X14=0,0,X14/X$35*M$2)</f>
        <v>903.558402245052</v>
      </c>
      <c r="O14" s="43" t="s">
        <v>26</v>
      </c>
      <c r="P14" s="44" t="n">
        <f aca="false">IF(Y14=0,0,Y14/Y$35*O$2)</f>
        <v>886.879039067105</v>
      </c>
      <c r="Q14" s="45" t="n">
        <f aca="false">SUM(D14,F14,H14,J14,L14,N14,P14)</f>
        <v>4608.38705846686</v>
      </c>
      <c r="R14" s="35" t="n">
        <f aca="false">IFERROR(INDEX(RoleFactor,MATCH(B14,RoleList,0)),1)</f>
        <v>1</v>
      </c>
      <c r="S14" s="36" t="n">
        <f aca="false">IF(C14="",0,INDEX(SunValue,MATCH(C14,ShiftList,0))*$R14)</f>
        <v>0.619615384615385</v>
      </c>
      <c r="T14" s="36" t="n">
        <f aca="false">IF(E14="",0,INDEX(MonValue,MATCH(E14,ShiftList,0))*$R14)</f>
        <v>0.782222222222222</v>
      </c>
      <c r="U14" s="36" t="n">
        <f aca="false">IF(G14="",0,INDEX(TueValue,MATCH(G14,ShiftList,0))*$R14)</f>
        <v>0.782222222222222</v>
      </c>
      <c r="V14" s="36" t="n">
        <f aca="false">IF(I14="",0,INDEX(WedValue,MATCH(I14,ShiftList,0))*$R14)</f>
        <v>0.789807692307692</v>
      </c>
      <c r="W14" s="36" t="n">
        <f aca="false">IF(K14="",0,INDEX(ThuValue,MATCH(K14,ShiftList,0))*$R14)</f>
        <v>0.7678125</v>
      </c>
      <c r="X14" s="36" t="n">
        <f aca="false">IF(M14="",0,INDEX(FriValue,MATCH(M14,ShiftList,0))*$R14)</f>
        <v>0.725555555555556</v>
      </c>
      <c r="Y14" s="36" t="n">
        <f aca="false">IF(O14="",0,INDEX(SatValue,MATCH(O14,ShiftList,0))*$R14)</f>
        <v>1.03555555555556</v>
      </c>
      <c r="AF14" s="1"/>
    </row>
    <row r="15" customFormat="false" ht="18" hidden="false" customHeight="true" outlineLevel="0" collapsed="false">
      <c r="A15" s="26"/>
      <c r="B15" s="27"/>
      <c r="C15" s="28"/>
      <c r="D15" s="29" t="n">
        <f aca="false">IF(S15=0,0,S15/S$35*C$2)</f>
        <v>0</v>
      </c>
      <c r="E15" s="30"/>
      <c r="F15" s="31" t="n">
        <f aca="false">IF(T15=0,0,T15/T$35*E$2)</f>
        <v>0</v>
      </c>
      <c r="G15" s="32"/>
      <c r="H15" s="29" t="n">
        <f aca="false">IF(U15=0,0,U15/U$35*G$2)</f>
        <v>0</v>
      </c>
      <c r="I15" s="30"/>
      <c r="J15" s="31" t="n">
        <f aca="false">IF(V15=0,0,V15/V$35*I$2)</f>
        <v>0</v>
      </c>
      <c r="K15" s="32"/>
      <c r="L15" s="29" t="n">
        <f aca="false">IF(W15=0,0,W15/W$35*K$2)</f>
        <v>0</v>
      </c>
      <c r="M15" s="30"/>
      <c r="N15" s="31" t="n">
        <f aca="false">IF(X15=0,0,X15/X$35*M$2)</f>
        <v>0</v>
      </c>
      <c r="O15" s="32"/>
      <c r="P15" s="33" t="n">
        <f aca="false">IF(Y15=0,0,Y15/Y$35*O$2)</f>
        <v>0</v>
      </c>
      <c r="Q15" s="34" t="n">
        <f aca="false">SUM(D15,F15,H15,J15,L15,N15,P15)</f>
        <v>0</v>
      </c>
      <c r="R15" s="35" t="n">
        <f aca="false">IFERROR(INDEX(RoleFactor,MATCH(B15,RoleList,0)),1)</f>
        <v>1</v>
      </c>
      <c r="S15" s="36" t="n">
        <f aca="false">IF(C15="",0,INDEX(SunValue,MATCH(C15,ShiftList,0))*$R15)</f>
        <v>0</v>
      </c>
      <c r="T15" s="36" t="n">
        <f aca="false">IF(E15="",0,INDEX(MonValue,MATCH(E15,ShiftList,0))*$R15)</f>
        <v>0</v>
      </c>
      <c r="U15" s="36" t="n">
        <f aca="false">IF(G15="",0,INDEX(TueValue,MATCH(G15,ShiftList,0))*$R15)</f>
        <v>0</v>
      </c>
      <c r="V15" s="36" t="n">
        <f aca="false">IF(I15="",0,INDEX(WedValue,MATCH(I15,ShiftList,0))*$R15)</f>
        <v>0</v>
      </c>
      <c r="W15" s="36" t="n">
        <f aca="false">IF(K15="",0,INDEX(ThuValue,MATCH(K15,ShiftList,0))*$R15)</f>
        <v>0</v>
      </c>
      <c r="X15" s="36" t="n">
        <f aca="false">IF(M15="",0,INDEX(FriValue,MATCH(M15,ShiftList,0))*$R15)</f>
        <v>0</v>
      </c>
      <c r="Y15" s="36" t="n">
        <f aca="false">IF(O15="",0,INDEX(SatValue,MATCH(O15,ShiftList,0))*$R15)</f>
        <v>0</v>
      </c>
      <c r="AF15" s="1"/>
    </row>
    <row r="16" customFormat="false" ht="18" hidden="false" customHeight="true" outlineLevel="0" collapsed="false">
      <c r="A16" s="37"/>
      <c r="B16" s="38"/>
      <c r="C16" s="39"/>
      <c r="D16" s="40" t="n">
        <f aca="false">IF(S16=0,0,S16/S$35*C$2)</f>
        <v>0</v>
      </c>
      <c r="E16" s="41"/>
      <c r="F16" s="42" t="n">
        <f aca="false">IF(T16=0,0,T16/T$35*E$2)</f>
        <v>0</v>
      </c>
      <c r="G16" s="43"/>
      <c r="H16" s="40" t="n">
        <f aca="false">IF(U16=0,0,U16/U$35*G$2)</f>
        <v>0</v>
      </c>
      <c r="I16" s="41"/>
      <c r="J16" s="42" t="n">
        <f aca="false">IF(V16=0,0,V16/V$35*I$2)</f>
        <v>0</v>
      </c>
      <c r="K16" s="43"/>
      <c r="L16" s="40" t="n">
        <f aca="false">IF(W16=0,0,W16/W$35*K$2)</f>
        <v>0</v>
      </c>
      <c r="M16" s="41"/>
      <c r="N16" s="42" t="n">
        <f aca="false">IF(X16=0,0,X16/X$35*M$2)</f>
        <v>0</v>
      </c>
      <c r="O16" s="43"/>
      <c r="P16" s="44" t="n">
        <f aca="false">IF(Y16=0,0,Y16/Y$35*O$2)</f>
        <v>0</v>
      </c>
      <c r="Q16" s="45" t="n">
        <f aca="false">SUM(D16,F16,H16,J16,L16,N16,P16)</f>
        <v>0</v>
      </c>
      <c r="R16" s="35" t="n">
        <f aca="false">IFERROR(INDEX(RoleFactor,MATCH(B16,RoleList,0)),1)</f>
        <v>1</v>
      </c>
      <c r="S16" s="36" t="n">
        <f aca="false">IF(C16="",0,INDEX(SunValue,MATCH(C16,ShiftList,0))*$R16)</f>
        <v>0</v>
      </c>
      <c r="T16" s="36" t="n">
        <f aca="false">IF(E16="",0,INDEX(MonValue,MATCH(E16,ShiftList,0))*$R16)</f>
        <v>0</v>
      </c>
      <c r="U16" s="36" t="n">
        <f aca="false">IF(G16="",0,INDEX(TueValue,MATCH(G16,ShiftList,0))*$R16)</f>
        <v>0</v>
      </c>
      <c r="V16" s="36" t="n">
        <f aca="false">IF(I16="",0,INDEX(WedValue,MATCH(I16,ShiftList,0))*$R16)</f>
        <v>0</v>
      </c>
      <c r="W16" s="36" t="n">
        <f aca="false">IF(K16="",0,INDEX(ThuValue,MATCH(K16,ShiftList,0))*$R16)</f>
        <v>0</v>
      </c>
      <c r="X16" s="36" t="n">
        <f aca="false">IF(M16="",0,INDEX(FriValue,MATCH(M16,ShiftList,0))*$R16)</f>
        <v>0</v>
      </c>
      <c r="Y16" s="36" t="n">
        <f aca="false">IF(O16="",0,INDEX(SatValue,MATCH(O16,ShiftList,0))*$R16)</f>
        <v>0</v>
      </c>
      <c r="AF16" s="1"/>
    </row>
    <row r="17" customFormat="false" ht="18" hidden="false" customHeight="true" outlineLevel="0" collapsed="false">
      <c r="A17" s="26"/>
      <c r="B17" s="27"/>
      <c r="C17" s="28"/>
      <c r="D17" s="29" t="n">
        <f aca="false">IF(S17=0,0,S17/S$35*C$2)</f>
        <v>0</v>
      </c>
      <c r="E17" s="30"/>
      <c r="F17" s="31" t="n">
        <f aca="false">IF(T17=0,0,T17/T$35*E$2)</f>
        <v>0</v>
      </c>
      <c r="G17" s="32"/>
      <c r="H17" s="29" t="n">
        <f aca="false">IF(U17=0,0,U17/U$35*G$2)</f>
        <v>0</v>
      </c>
      <c r="I17" s="30"/>
      <c r="J17" s="31" t="n">
        <f aca="false">IF(V17=0,0,V17/V$35*I$2)</f>
        <v>0</v>
      </c>
      <c r="K17" s="32"/>
      <c r="L17" s="29" t="n">
        <f aca="false">IF(W17=0,0,W17/W$35*K$2)</f>
        <v>0</v>
      </c>
      <c r="M17" s="30"/>
      <c r="N17" s="31" t="n">
        <f aca="false">IF(X17=0,0,X17/X$35*M$2)</f>
        <v>0</v>
      </c>
      <c r="O17" s="32"/>
      <c r="P17" s="33" t="n">
        <f aca="false">IF(Y17=0,0,Y17/Y$35*O$2)</f>
        <v>0</v>
      </c>
      <c r="Q17" s="34" t="n">
        <f aca="false">SUM(D17,F17,H17,J17,L17,N17,P17)</f>
        <v>0</v>
      </c>
      <c r="R17" s="35" t="n">
        <f aca="false">IFERROR(INDEX(RoleFactor,MATCH(B17,RoleList,0)),1)</f>
        <v>1</v>
      </c>
      <c r="S17" s="36" t="n">
        <f aca="false">IF(C17="",0,INDEX(SunValue,MATCH(C17,ShiftList,0))*$R17)</f>
        <v>0</v>
      </c>
      <c r="T17" s="36" t="n">
        <f aca="false">IF(E17="",0,INDEX(MonValue,MATCH(E17,ShiftList,0))*$R17)</f>
        <v>0</v>
      </c>
      <c r="U17" s="36" t="n">
        <f aca="false">IF(G17="",0,INDEX(TueValue,MATCH(G17,ShiftList,0))*$R17)</f>
        <v>0</v>
      </c>
      <c r="V17" s="36" t="n">
        <f aca="false">IF(I17="",0,INDEX(WedValue,MATCH(I17,ShiftList,0))*$R17)</f>
        <v>0</v>
      </c>
      <c r="W17" s="36" t="n">
        <f aca="false">IF(K17="",0,INDEX(ThuValue,MATCH(K17,ShiftList,0))*$R17)</f>
        <v>0</v>
      </c>
      <c r="X17" s="36" t="n">
        <f aca="false">IF(M17="",0,INDEX(FriValue,MATCH(M17,ShiftList,0))*$R17)</f>
        <v>0</v>
      </c>
      <c r="Y17" s="36" t="n">
        <f aca="false">IF(O17="",0,INDEX(SatValue,MATCH(O17,ShiftList,0))*$R17)</f>
        <v>0</v>
      </c>
      <c r="AF17" s="1"/>
    </row>
    <row r="18" customFormat="false" ht="18" hidden="false" customHeight="true" outlineLevel="0" collapsed="false">
      <c r="A18" s="37"/>
      <c r="B18" s="38"/>
      <c r="C18" s="39"/>
      <c r="D18" s="40" t="n">
        <f aca="false">IF(S18=0,0,S18/S$35*C$2)</f>
        <v>0</v>
      </c>
      <c r="E18" s="41"/>
      <c r="F18" s="42" t="n">
        <f aca="false">IF(T18=0,0,T18/T$35*E$2)</f>
        <v>0</v>
      </c>
      <c r="G18" s="43"/>
      <c r="H18" s="40" t="n">
        <f aca="false">IF(U18=0,0,U18/U$35*G$2)</f>
        <v>0</v>
      </c>
      <c r="I18" s="41"/>
      <c r="J18" s="42" t="n">
        <f aca="false">IF(V18=0,0,V18/V$35*I$2)</f>
        <v>0</v>
      </c>
      <c r="K18" s="43"/>
      <c r="L18" s="40" t="n">
        <f aca="false">IF(W18=0,0,W18/W$35*K$2)</f>
        <v>0</v>
      </c>
      <c r="M18" s="41"/>
      <c r="N18" s="42" t="n">
        <f aca="false">IF(X18=0,0,X18/X$35*M$2)</f>
        <v>0</v>
      </c>
      <c r="O18" s="43"/>
      <c r="P18" s="44" t="n">
        <f aca="false">IF(Y18=0,0,Y18/Y$35*O$2)</f>
        <v>0</v>
      </c>
      <c r="Q18" s="45" t="n">
        <f aca="false">SUM(D18,F18,H18,J18,L18,N18,P18)</f>
        <v>0</v>
      </c>
      <c r="R18" s="35" t="n">
        <f aca="false">IFERROR(INDEX(RoleFactor,MATCH(B18,RoleList,0)),1)</f>
        <v>1</v>
      </c>
      <c r="S18" s="36" t="n">
        <f aca="false">IF(C18="",0,INDEX(SunValue,MATCH(C18,ShiftList,0))*$R18)</f>
        <v>0</v>
      </c>
      <c r="T18" s="36" t="n">
        <f aca="false">IF(E18="",0,INDEX(MonValue,MATCH(E18,ShiftList,0))*$R18)</f>
        <v>0</v>
      </c>
      <c r="U18" s="36" t="n">
        <f aca="false">IF(G18="",0,INDEX(TueValue,MATCH(G18,ShiftList,0))*$R18)</f>
        <v>0</v>
      </c>
      <c r="V18" s="36" t="n">
        <f aca="false">IF(I18="",0,INDEX(WedValue,MATCH(I18,ShiftList,0))*$R18)</f>
        <v>0</v>
      </c>
      <c r="W18" s="36" t="n">
        <f aca="false">IF(K18="",0,INDEX(ThuValue,MATCH(K18,ShiftList,0))*$R18)</f>
        <v>0</v>
      </c>
      <c r="X18" s="36" t="n">
        <f aca="false">IF(M18="",0,INDEX(FriValue,MATCH(M18,ShiftList,0))*$R18)</f>
        <v>0</v>
      </c>
      <c r="Y18" s="36" t="n">
        <f aca="false">IF(O18="",0,INDEX(SatValue,MATCH(O18,ShiftList,0))*$R18)</f>
        <v>0</v>
      </c>
      <c r="AF18" s="1"/>
    </row>
    <row r="19" customFormat="false" ht="18" hidden="false" customHeight="true" outlineLevel="0" collapsed="false">
      <c r="A19" s="26"/>
      <c r="B19" s="27"/>
      <c r="C19" s="28"/>
      <c r="D19" s="29" t="n">
        <f aca="false">IF(S19=0,0,S19/S$35*C$2)</f>
        <v>0</v>
      </c>
      <c r="E19" s="30"/>
      <c r="F19" s="31" t="n">
        <f aca="false">IF(T19=0,0,T19/T$35*E$2)</f>
        <v>0</v>
      </c>
      <c r="G19" s="32"/>
      <c r="H19" s="29" t="n">
        <f aca="false">IF(U19=0,0,U19/U$35*G$2)</f>
        <v>0</v>
      </c>
      <c r="I19" s="30"/>
      <c r="J19" s="31" t="n">
        <f aca="false">IF(V19=0,0,V19/V$35*I$2)</f>
        <v>0</v>
      </c>
      <c r="K19" s="32"/>
      <c r="L19" s="29" t="n">
        <f aca="false">IF(W19=0,0,W19/W$35*K$2)</f>
        <v>0</v>
      </c>
      <c r="M19" s="30"/>
      <c r="N19" s="31" t="n">
        <f aca="false">IF(X19=0,0,X19/X$35*M$2)</f>
        <v>0</v>
      </c>
      <c r="O19" s="32"/>
      <c r="P19" s="33" t="n">
        <f aca="false">IF(Y19=0,0,Y19/Y$35*O$2)</f>
        <v>0</v>
      </c>
      <c r="Q19" s="34" t="n">
        <f aca="false">SUM(D19,F19,H19,J19,L19,N19,P19)</f>
        <v>0</v>
      </c>
      <c r="R19" s="35" t="n">
        <f aca="false">IFERROR(INDEX(RoleFactor,MATCH(B19,RoleList,0)),1)</f>
        <v>1</v>
      </c>
      <c r="S19" s="36" t="n">
        <f aca="false">IF(C19="",0,INDEX(SunValue,MATCH(C19,ShiftList,0))*$R19)</f>
        <v>0</v>
      </c>
      <c r="T19" s="36" t="n">
        <f aca="false">IF(E19="",0,INDEX(MonValue,MATCH(E19,ShiftList,0))*$R19)</f>
        <v>0</v>
      </c>
      <c r="U19" s="36" t="n">
        <f aca="false">IF(G19="",0,INDEX(TueValue,MATCH(G19,ShiftList,0))*$R19)</f>
        <v>0</v>
      </c>
      <c r="V19" s="36" t="n">
        <f aca="false">IF(I19="",0,INDEX(WedValue,MATCH(I19,ShiftList,0))*$R19)</f>
        <v>0</v>
      </c>
      <c r="W19" s="36" t="n">
        <f aca="false">IF(K19="",0,INDEX(ThuValue,MATCH(K19,ShiftList,0))*$R19)</f>
        <v>0</v>
      </c>
      <c r="X19" s="36" t="n">
        <f aca="false">IF(M19="",0,INDEX(FriValue,MATCH(M19,ShiftList,0))*$R19)</f>
        <v>0</v>
      </c>
      <c r="Y19" s="36" t="n">
        <f aca="false">IF(O19="",0,INDEX(SatValue,MATCH(O19,ShiftList,0))*$R19)</f>
        <v>0</v>
      </c>
      <c r="AF19" s="1"/>
    </row>
    <row r="20" customFormat="false" ht="18" hidden="false" customHeight="true" outlineLevel="0" collapsed="false">
      <c r="A20" s="46"/>
      <c r="B20" s="47"/>
      <c r="C20" s="48"/>
      <c r="D20" s="49" t="n">
        <f aca="false">IF(S20=0,0,S20/S$35*C$2)</f>
        <v>0</v>
      </c>
      <c r="E20" s="50"/>
      <c r="F20" s="51" t="n">
        <f aca="false">IF(T20=0,0,T20/T$35*E$2)</f>
        <v>0</v>
      </c>
      <c r="G20" s="52"/>
      <c r="H20" s="49" t="n">
        <f aca="false">IF(U20=0,0,U20/U$35*G$2)</f>
        <v>0</v>
      </c>
      <c r="I20" s="50"/>
      <c r="J20" s="51" t="n">
        <f aca="false">IF(V20=0,0,V20/V$35*I$2)</f>
        <v>0</v>
      </c>
      <c r="K20" s="52"/>
      <c r="L20" s="49" t="n">
        <f aca="false">IF(W20=0,0,W20/W$35*K$2)</f>
        <v>0</v>
      </c>
      <c r="M20" s="50"/>
      <c r="N20" s="51" t="n">
        <f aca="false">IF(X20=0,0,X20/X$35*M$2)</f>
        <v>0</v>
      </c>
      <c r="O20" s="52"/>
      <c r="P20" s="53" t="n">
        <f aca="false">IF(Y20=0,0,Y20/Y$35*O$2)</f>
        <v>0</v>
      </c>
      <c r="Q20" s="54" t="n">
        <f aca="false">SUM(D20,F20,H20,J20,L20,N20,P20)</f>
        <v>0</v>
      </c>
      <c r="R20" s="35" t="n">
        <f aca="false">IFERROR(INDEX(RoleFactor,MATCH(B20,RoleList,0)),1)</f>
        <v>1</v>
      </c>
      <c r="S20" s="36" t="n">
        <f aca="false">IF(C20="",0,INDEX(SunValue,MATCH(C20,ShiftList,0))*$R20)</f>
        <v>0</v>
      </c>
      <c r="T20" s="36" t="n">
        <f aca="false">IF(E20="",0,INDEX(MonValue,MATCH(E20,ShiftList,0))*$R20)</f>
        <v>0</v>
      </c>
      <c r="U20" s="36" t="n">
        <f aca="false">IF(G20="",0,INDEX(TueValue,MATCH(G20,ShiftList,0))*$R20)</f>
        <v>0</v>
      </c>
      <c r="V20" s="36" t="n">
        <f aca="false">IF(I20="",0,INDEX(WedValue,MATCH(I20,ShiftList,0))*$R20)</f>
        <v>0</v>
      </c>
      <c r="W20" s="36" t="n">
        <f aca="false">IF(K20="",0,INDEX(ThuValue,MATCH(K20,ShiftList,0))*$R20)</f>
        <v>0</v>
      </c>
      <c r="X20" s="36" t="n">
        <f aca="false">IF(M20="",0,INDEX(FriValue,MATCH(M20,ShiftList,0))*$R20)</f>
        <v>0</v>
      </c>
      <c r="Y20" s="36" t="n">
        <f aca="false">IF(O20="",0,INDEX(SatValue,MATCH(O20,ShiftList,0))*$R20)</f>
        <v>0</v>
      </c>
      <c r="AF20" s="1"/>
    </row>
    <row r="21" customFormat="false" ht="18" hidden="false" customHeight="true" outlineLevel="0" collapsed="false">
      <c r="A21" s="26"/>
      <c r="B21" s="27"/>
      <c r="C21" s="55"/>
      <c r="D21" s="29" t="n">
        <f aca="false">IF(S21=0,0,S21/S$35*C$2)</f>
        <v>0</v>
      </c>
      <c r="E21" s="56"/>
      <c r="F21" s="31" t="n">
        <f aca="false">IF(T21=0,0,T21/T$35*E$2)</f>
        <v>0</v>
      </c>
      <c r="G21" s="57"/>
      <c r="H21" s="29" t="n">
        <f aca="false">IF(U21=0,0,U21/U$35*G$2)</f>
        <v>0</v>
      </c>
      <c r="I21" s="56"/>
      <c r="J21" s="31" t="n">
        <f aca="false">IF(V21=0,0,V21/V$35*I$2)</f>
        <v>0</v>
      </c>
      <c r="K21" s="57"/>
      <c r="L21" s="29" t="n">
        <f aca="false">IF(W21=0,0,W21/W$35*K$2)</f>
        <v>0</v>
      </c>
      <c r="M21" s="56"/>
      <c r="N21" s="31" t="n">
        <f aca="false">IF(X21=0,0,X21/X$35*M$2)</f>
        <v>0</v>
      </c>
      <c r="O21" s="57"/>
      <c r="P21" s="33" t="n">
        <f aca="false">IF(Y21=0,0,Y21/Y$35*O$2)</f>
        <v>0</v>
      </c>
      <c r="Q21" s="34" t="n">
        <f aca="false">SUM(D21,F21,H21,J21,L21,N21,P21)</f>
        <v>0</v>
      </c>
      <c r="R21" s="35" t="n">
        <f aca="false">IFERROR(INDEX(RoleFactor,MATCH(B21,RoleList,0)),1)</f>
        <v>1</v>
      </c>
      <c r="S21" s="36" t="n">
        <f aca="false">IF(C21="",0,INDEX(SunValue,MATCH(C21,ShiftList,0))*$R21)</f>
        <v>0</v>
      </c>
      <c r="T21" s="36" t="n">
        <f aca="false">IF(E21="",0,INDEX(MonValue,MATCH(E21,ShiftList,0))*$R21)</f>
        <v>0</v>
      </c>
      <c r="U21" s="36" t="n">
        <f aca="false">IF(G21="",0,INDEX(TueValue,MATCH(G21,ShiftList,0))*$R21)</f>
        <v>0</v>
      </c>
      <c r="V21" s="36" t="n">
        <f aca="false">IF(I21="",0,INDEX(WedValue,MATCH(I21,ShiftList,0))*$R21)</f>
        <v>0</v>
      </c>
      <c r="W21" s="36" t="n">
        <f aca="false">IF(K21="",0,INDEX(ThuValue,MATCH(K21,ShiftList,0))*$R21)</f>
        <v>0</v>
      </c>
      <c r="X21" s="36" t="n">
        <f aca="false">IF(M21="",0,INDEX(FriValue,MATCH(M21,ShiftList,0))*$R21)</f>
        <v>0</v>
      </c>
      <c r="Y21" s="36" t="n">
        <f aca="false">IF(O21="",0,INDEX(SatValue,MATCH(O21,ShiftList,0))*$R21)</f>
        <v>0</v>
      </c>
      <c r="AF21" s="1"/>
    </row>
    <row r="22" customFormat="false" ht="18" hidden="false" customHeight="true" outlineLevel="0" collapsed="false">
      <c r="A22" s="58"/>
      <c r="B22" s="59"/>
      <c r="C22" s="59"/>
      <c r="D22" s="60" t="n">
        <f aca="false">IF(S22=0,0,S22/S$35*C$2)</f>
        <v>0</v>
      </c>
      <c r="E22" s="61"/>
      <c r="F22" s="42" t="n">
        <f aca="false">IF(T22=0,0,T22/T$35*E$2)</f>
        <v>0</v>
      </c>
      <c r="G22" s="62"/>
      <c r="H22" s="40" t="n">
        <f aca="false">IF(U22=0,0,U22/U$35*G$2)</f>
        <v>0</v>
      </c>
      <c r="I22" s="61"/>
      <c r="J22" s="42" t="n">
        <f aca="false">IF(V22=0,0,V22/V$35*I$2)</f>
        <v>0</v>
      </c>
      <c r="K22" s="62"/>
      <c r="L22" s="40" t="n">
        <f aca="false">IF(W22=0,0,W22/W$35*K$2)</f>
        <v>0</v>
      </c>
      <c r="M22" s="61"/>
      <c r="N22" s="42" t="n">
        <f aca="false">IF(X22=0,0,X22/X$35*M$2)</f>
        <v>0</v>
      </c>
      <c r="O22" s="62"/>
      <c r="P22" s="44" t="n">
        <f aca="false">IF(Y22=0,0,Y22/Y$35*O$2)</f>
        <v>0</v>
      </c>
      <c r="Q22" s="45" t="n">
        <f aca="false">SUM(D22,F22,H22,J22,L22,N22,P22)</f>
        <v>0</v>
      </c>
      <c r="R22" s="35" t="n">
        <f aca="false">IFERROR(INDEX(RoleFactor,MATCH(B22,RoleList,0)),1)</f>
        <v>1</v>
      </c>
      <c r="S22" s="36" t="n">
        <f aca="false">IF(C22="",0,INDEX(SunValue,MATCH(C22,ShiftList,0))*$R22)</f>
        <v>0</v>
      </c>
      <c r="T22" s="36" t="n">
        <f aca="false">IF(E22="",0,INDEX(MonValue,MATCH(E22,ShiftList,0))*$R22)</f>
        <v>0</v>
      </c>
      <c r="U22" s="36" t="n">
        <f aca="false">IF(G22="",0,INDEX(TueValue,MATCH(G22,ShiftList,0))*$R22)</f>
        <v>0</v>
      </c>
      <c r="V22" s="36" t="n">
        <f aca="false">IF(I22="",0,INDEX(WedValue,MATCH(I22,ShiftList,0))*$R22)</f>
        <v>0</v>
      </c>
      <c r="W22" s="36" t="n">
        <f aca="false">IF(K22="",0,INDEX(ThuValue,MATCH(K22,ShiftList,0))*$R22)</f>
        <v>0</v>
      </c>
      <c r="X22" s="36" t="n">
        <f aca="false">IF(M22="",0,INDEX(FriValue,MATCH(M22,ShiftList,0))*$R22)</f>
        <v>0</v>
      </c>
      <c r="Y22" s="36" t="n">
        <f aca="false">IF(O22="",0,INDEX(SatValue,MATCH(O22,ShiftList,0))*$R22)</f>
        <v>0</v>
      </c>
      <c r="AF22" s="1"/>
    </row>
    <row r="23" customFormat="false" ht="18" hidden="false" customHeight="true" outlineLevel="0" collapsed="false">
      <c r="A23" s="58"/>
      <c r="B23" s="59"/>
      <c r="C23" s="59"/>
      <c r="D23" s="60" t="n">
        <f aca="false">IF(S23=0,0,S23/S$35*C$2)</f>
        <v>0</v>
      </c>
      <c r="E23" s="56"/>
      <c r="F23" s="31" t="n">
        <f aca="false">IF(T23=0,0,T23/T$35*E$2)</f>
        <v>0</v>
      </c>
      <c r="G23" s="57"/>
      <c r="H23" s="29" t="n">
        <f aca="false">IF(U23=0,0,U23/U$35*G$2)</f>
        <v>0</v>
      </c>
      <c r="I23" s="56"/>
      <c r="J23" s="31" t="n">
        <f aca="false">IF(V23=0,0,V23/V$35*I$2)</f>
        <v>0</v>
      </c>
      <c r="K23" s="57"/>
      <c r="L23" s="29" t="n">
        <f aca="false">IF(W23=0,0,W23/W$35*K$2)</f>
        <v>0</v>
      </c>
      <c r="M23" s="56"/>
      <c r="N23" s="31" t="n">
        <f aca="false">IF(X23=0,0,X23/X$35*M$2)</f>
        <v>0</v>
      </c>
      <c r="O23" s="57"/>
      <c r="P23" s="33" t="n">
        <f aca="false">IF(Y23=0,0,Y23/Y$35*O$2)</f>
        <v>0</v>
      </c>
      <c r="Q23" s="34" t="n">
        <f aca="false">SUM(D23,F23,H23,J23,L23,N23,P23)</f>
        <v>0</v>
      </c>
      <c r="R23" s="35" t="n">
        <f aca="false">IFERROR(INDEX(RoleFactor,MATCH(B23,RoleList,0)),1)</f>
        <v>1</v>
      </c>
      <c r="S23" s="36" t="n">
        <f aca="false">IF(C23="",0,INDEX(SunValue,MATCH(C23,ShiftList,0))*$R23)</f>
        <v>0</v>
      </c>
      <c r="T23" s="36" t="n">
        <f aca="false">IF(E23="",0,INDEX(MonValue,MATCH(E23,ShiftList,0))*$R23)</f>
        <v>0</v>
      </c>
      <c r="U23" s="36" t="n">
        <f aca="false">IF(G23="",0,INDEX(TueValue,MATCH(G23,ShiftList,0))*$R23)</f>
        <v>0</v>
      </c>
      <c r="V23" s="36" t="n">
        <f aca="false">IF(I23="",0,INDEX(WedValue,MATCH(I23,ShiftList,0))*$R23)</f>
        <v>0</v>
      </c>
      <c r="W23" s="36" t="n">
        <f aca="false">IF(K23="",0,INDEX(ThuValue,MATCH(K23,ShiftList,0))*$R23)</f>
        <v>0</v>
      </c>
      <c r="X23" s="36" t="n">
        <f aca="false">IF(M23="",0,INDEX(FriValue,MATCH(M23,ShiftList,0))*$R23)</f>
        <v>0</v>
      </c>
      <c r="Y23" s="36" t="n">
        <f aca="false">IF(O23="",0,INDEX(SatValue,MATCH(O23,ShiftList,0))*$R23)</f>
        <v>0</v>
      </c>
      <c r="AF23" s="1"/>
    </row>
    <row r="24" customFormat="false" ht="18" hidden="false" customHeight="true" outlineLevel="0" collapsed="false">
      <c r="A24" s="37"/>
      <c r="B24" s="38"/>
      <c r="C24" s="63"/>
      <c r="D24" s="40" t="n">
        <f aca="false">IF(S24=0,0,S24/S$35*C$2)</f>
        <v>0</v>
      </c>
      <c r="E24" s="61"/>
      <c r="F24" s="42" t="n">
        <f aca="false">IF(T24=0,0,T24/T$35*E$2)</f>
        <v>0</v>
      </c>
      <c r="G24" s="62"/>
      <c r="H24" s="40" t="n">
        <f aca="false">IF(U24=0,0,U24/U$35*G$2)</f>
        <v>0</v>
      </c>
      <c r="I24" s="61"/>
      <c r="J24" s="42" t="n">
        <f aca="false">IF(V24=0,0,V24/V$35*I$2)</f>
        <v>0</v>
      </c>
      <c r="K24" s="62"/>
      <c r="L24" s="40" t="n">
        <f aca="false">IF(W24=0,0,W24/W$35*K$2)</f>
        <v>0</v>
      </c>
      <c r="M24" s="61"/>
      <c r="N24" s="42" t="n">
        <f aca="false">IF(X24=0,0,X24/X$35*M$2)</f>
        <v>0</v>
      </c>
      <c r="O24" s="62"/>
      <c r="P24" s="44" t="n">
        <f aca="false">IF(Y24=0,0,Y24/Y$35*O$2)</f>
        <v>0</v>
      </c>
      <c r="Q24" s="45" t="n">
        <f aca="false">SUM(D24,F24,H24,J24,L24,N24,P24)</f>
        <v>0</v>
      </c>
      <c r="R24" s="35" t="n">
        <f aca="false">IFERROR(INDEX(RoleFactor,MATCH(B24,RoleList,0)),1)</f>
        <v>1</v>
      </c>
      <c r="S24" s="36" t="n">
        <f aca="false">IF(C24="",0,INDEX(SunValue,MATCH(C24,ShiftList,0))*$R24)</f>
        <v>0</v>
      </c>
      <c r="T24" s="36" t="n">
        <f aca="false">IF(E24="",0,INDEX(MonValue,MATCH(E24,ShiftList,0))*$R24)</f>
        <v>0</v>
      </c>
      <c r="U24" s="36" t="n">
        <f aca="false">IF(G24="",0,INDEX(TueValue,MATCH(G24,ShiftList,0))*$R24)</f>
        <v>0</v>
      </c>
      <c r="V24" s="36" t="n">
        <f aca="false">IF(I24="",0,INDEX(WedValue,MATCH(I24,ShiftList,0))*$R24)</f>
        <v>0</v>
      </c>
      <c r="W24" s="36" t="n">
        <f aca="false">IF(K24="",0,INDEX(ThuValue,MATCH(K24,ShiftList,0))*$R24)</f>
        <v>0</v>
      </c>
      <c r="X24" s="36" t="n">
        <f aca="false">IF(M24="",0,INDEX(FriValue,MATCH(M24,ShiftList,0))*$R24)</f>
        <v>0</v>
      </c>
      <c r="Y24" s="36" t="n">
        <f aca="false">IF(O24="",0,INDEX(SatValue,MATCH(O24,ShiftList,0))*$R24)</f>
        <v>0</v>
      </c>
      <c r="AF24" s="1"/>
    </row>
    <row r="25" customFormat="false" ht="18" hidden="false" customHeight="true" outlineLevel="0" collapsed="false">
      <c r="A25" s="26"/>
      <c r="B25" s="27"/>
      <c r="C25" s="55"/>
      <c r="D25" s="29" t="n">
        <f aca="false">IF(S25=0,0,S25/S$35*C$2)</f>
        <v>0</v>
      </c>
      <c r="E25" s="56"/>
      <c r="F25" s="31" t="n">
        <f aca="false">IF(T25=0,0,T25/T$35*E$2)</f>
        <v>0</v>
      </c>
      <c r="G25" s="57"/>
      <c r="H25" s="29" t="n">
        <f aca="false">IF(U25=0,0,U25/U$35*G$2)</f>
        <v>0</v>
      </c>
      <c r="I25" s="56"/>
      <c r="J25" s="31" t="n">
        <f aca="false">IF(V25=0,0,V25/V$35*I$2)</f>
        <v>0</v>
      </c>
      <c r="K25" s="57"/>
      <c r="L25" s="29" t="n">
        <f aca="false">IF(W25=0,0,W25/W$35*K$2)</f>
        <v>0</v>
      </c>
      <c r="M25" s="56"/>
      <c r="N25" s="31" t="n">
        <f aca="false">IF(X25=0,0,X25/X$35*M$2)</f>
        <v>0</v>
      </c>
      <c r="O25" s="57"/>
      <c r="P25" s="33" t="n">
        <f aca="false">IF(Y25=0,0,Y25/Y$35*O$2)</f>
        <v>0</v>
      </c>
      <c r="Q25" s="34" t="n">
        <f aca="false">SUM(D25,F25,H25,J25,L25,N25,P25)</f>
        <v>0</v>
      </c>
      <c r="R25" s="35" t="n">
        <f aca="false">IFERROR(INDEX(RoleFactor,MATCH(B25,RoleList,0)),1)</f>
        <v>1</v>
      </c>
      <c r="S25" s="36" t="n">
        <f aca="false">IF(C25="",0,INDEX(SunValue,MATCH(C25,ShiftList,0))*$R25)</f>
        <v>0</v>
      </c>
      <c r="T25" s="36" t="n">
        <f aca="false">IF(E25="",0,INDEX(MonValue,MATCH(E25,ShiftList,0))*$R25)</f>
        <v>0</v>
      </c>
      <c r="U25" s="36" t="n">
        <f aca="false">IF(G25="",0,INDEX(TueValue,MATCH(G25,ShiftList,0))*$R25)</f>
        <v>0</v>
      </c>
      <c r="V25" s="36" t="n">
        <f aca="false">IF(I25="",0,INDEX(WedValue,MATCH(I25,ShiftList,0))*$R25)</f>
        <v>0</v>
      </c>
      <c r="W25" s="36" t="n">
        <f aca="false">IF(K25="",0,INDEX(ThuValue,MATCH(K25,ShiftList,0))*$R25)</f>
        <v>0</v>
      </c>
      <c r="X25" s="36" t="n">
        <f aca="false">IF(M25="",0,INDEX(FriValue,MATCH(M25,ShiftList,0))*$R25)</f>
        <v>0</v>
      </c>
      <c r="Y25" s="36" t="n">
        <f aca="false">IF(O25="",0,INDEX(SatValue,MATCH(O25,ShiftList,0))*$R25)</f>
        <v>0</v>
      </c>
      <c r="AF25" s="1"/>
    </row>
    <row r="26" customFormat="false" ht="18" hidden="false" customHeight="true" outlineLevel="0" collapsed="false">
      <c r="A26" s="37"/>
      <c r="B26" s="38"/>
      <c r="C26" s="63"/>
      <c r="D26" s="40" t="n">
        <f aca="false">IF(S26=0,0,S26/S$35*C$2)</f>
        <v>0</v>
      </c>
      <c r="E26" s="61"/>
      <c r="F26" s="42" t="n">
        <f aca="false">IF(T26=0,0,T26/T$35*E$2)</f>
        <v>0</v>
      </c>
      <c r="G26" s="62"/>
      <c r="H26" s="40" t="n">
        <f aca="false">IF(U26=0,0,U26/U$35*G$2)</f>
        <v>0</v>
      </c>
      <c r="I26" s="61"/>
      <c r="J26" s="42" t="n">
        <f aca="false">IF(V26=0,0,V26/V$35*I$2)</f>
        <v>0</v>
      </c>
      <c r="K26" s="62"/>
      <c r="L26" s="40" t="n">
        <f aca="false">IF(W26=0,0,W26/W$35*K$2)</f>
        <v>0</v>
      </c>
      <c r="M26" s="61"/>
      <c r="N26" s="42" t="n">
        <f aca="false">IF(X26=0,0,X26/X$35*M$2)</f>
        <v>0</v>
      </c>
      <c r="O26" s="62"/>
      <c r="P26" s="44" t="n">
        <f aca="false">IF(Y26=0,0,Y26/Y$35*O$2)</f>
        <v>0</v>
      </c>
      <c r="Q26" s="45" t="n">
        <f aca="false">SUM(D26,F26,H26,J26,L26,N26,P26)</f>
        <v>0</v>
      </c>
      <c r="R26" s="35" t="n">
        <f aca="false">IFERROR(INDEX(RoleFactor,MATCH(B26,RoleList,0)),1)</f>
        <v>1</v>
      </c>
      <c r="S26" s="36" t="n">
        <f aca="false">IF(C26="",0,INDEX(SunValue,MATCH(C26,ShiftList,0))*$R26)</f>
        <v>0</v>
      </c>
      <c r="T26" s="36" t="n">
        <f aca="false">IF(E26="",0,INDEX(MonValue,MATCH(E26,ShiftList,0))*$R26)</f>
        <v>0</v>
      </c>
      <c r="U26" s="36" t="n">
        <f aca="false">IF(G26="",0,INDEX(TueValue,MATCH(G26,ShiftList,0))*$R26)</f>
        <v>0</v>
      </c>
      <c r="V26" s="36" t="n">
        <f aca="false">IF(I26="",0,INDEX(WedValue,MATCH(I26,ShiftList,0))*$R26)</f>
        <v>0</v>
      </c>
      <c r="W26" s="36" t="n">
        <f aca="false">IF(K26="",0,INDEX(ThuValue,MATCH(K26,ShiftList,0))*$R26)</f>
        <v>0</v>
      </c>
      <c r="X26" s="36" t="n">
        <f aca="false">IF(M26="",0,INDEX(FriValue,MATCH(M26,ShiftList,0))*$R26)</f>
        <v>0</v>
      </c>
      <c r="Y26" s="36" t="n">
        <f aca="false">IF(O26="",0,INDEX(SatValue,MATCH(O26,ShiftList,0))*$R26)</f>
        <v>0</v>
      </c>
      <c r="AF26" s="1"/>
    </row>
    <row r="27" customFormat="false" ht="18" hidden="false" customHeight="true" outlineLevel="0" collapsed="false">
      <c r="A27" s="26"/>
      <c r="B27" s="27"/>
      <c r="C27" s="55"/>
      <c r="D27" s="29" t="n">
        <f aca="false">IF(S27=0,0,S27/S$35*C$2)</f>
        <v>0</v>
      </c>
      <c r="E27" s="56"/>
      <c r="F27" s="31" t="n">
        <f aca="false">IF(T27=0,0,T27/T$35*E$2)</f>
        <v>0</v>
      </c>
      <c r="G27" s="57"/>
      <c r="H27" s="29" t="n">
        <f aca="false">IF(U27=0,0,U27/U$35*G$2)</f>
        <v>0</v>
      </c>
      <c r="I27" s="56"/>
      <c r="J27" s="31" t="n">
        <f aca="false">IF(V27=0,0,V27/V$35*I$2)</f>
        <v>0</v>
      </c>
      <c r="K27" s="57"/>
      <c r="L27" s="29" t="n">
        <f aca="false">IF(W27=0,0,W27/W$35*K$2)</f>
        <v>0</v>
      </c>
      <c r="M27" s="56"/>
      <c r="N27" s="31" t="n">
        <f aca="false">IF(X27=0,0,X27/X$35*M$2)</f>
        <v>0</v>
      </c>
      <c r="O27" s="57"/>
      <c r="P27" s="33" t="n">
        <f aca="false">IF(Y27=0,0,Y27/Y$35*O$2)</f>
        <v>0</v>
      </c>
      <c r="Q27" s="34" t="n">
        <f aca="false">SUM(D27,F27,H27,J27,L27,N27,P27)</f>
        <v>0</v>
      </c>
      <c r="R27" s="35" t="n">
        <f aca="false">IFERROR(INDEX(RoleFactor,MATCH(B27,RoleList,0)),1)</f>
        <v>1</v>
      </c>
      <c r="S27" s="36" t="n">
        <f aca="false">IF(C27="",0,INDEX(SunValue,MATCH(C27,ShiftList,0))*$R27)</f>
        <v>0</v>
      </c>
      <c r="T27" s="36" t="n">
        <f aca="false">IF(E27="",0,INDEX(MonValue,MATCH(E27,ShiftList,0))*$R27)</f>
        <v>0</v>
      </c>
      <c r="U27" s="36" t="n">
        <f aca="false">IF(G27="",0,INDEX(TueValue,MATCH(G27,ShiftList,0))*$R27)</f>
        <v>0</v>
      </c>
      <c r="V27" s="36" t="n">
        <f aca="false">IF(I27="",0,INDEX(WedValue,MATCH(I27,ShiftList,0))*$R27)</f>
        <v>0</v>
      </c>
      <c r="W27" s="36" t="n">
        <f aca="false">IF(K27="",0,INDEX(ThuValue,MATCH(K27,ShiftList,0))*$R27)</f>
        <v>0</v>
      </c>
      <c r="X27" s="36" t="n">
        <f aca="false">IF(M27="",0,INDEX(FriValue,MATCH(M27,ShiftList,0))*$R27)</f>
        <v>0</v>
      </c>
      <c r="Y27" s="36" t="n">
        <f aca="false">IF(O27="",0,INDEX(SatValue,MATCH(O27,ShiftList,0))*$R27)</f>
        <v>0</v>
      </c>
      <c r="AF27" s="1"/>
    </row>
    <row r="28" customFormat="false" ht="18" hidden="false" customHeight="true" outlineLevel="0" collapsed="false">
      <c r="A28" s="37"/>
      <c r="B28" s="38"/>
      <c r="C28" s="63"/>
      <c r="D28" s="40" t="n">
        <f aca="false">IF(S28=0,0,S28/S$35*C$2)</f>
        <v>0</v>
      </c>
      <c r="E28" s="61"/>
      <c r="F28" s="42" t="n">
        <f aca="false">IF(T28=0,0,T28/T$35*E$2)</f>
        <v>0</v>
      </c>
      <c r="G28" s="62"/>
      <c r="H28" s="40" t="n">
        <f aca="false">IF(U28=0,0,U28/U$35*G$2)</f>
        <v>0</v>
      </c>
      <c r="I28" s="61"/>
      <c r="J28" s="42" t="n">
        <f aca="false">IF(V28=0,0,V28/V$35*I$2)</f>
        <v>0</v>
      </c>
      <c r="K28" s="62"/>
      <c r="L28" s="40" t="n">
        <f aca="false">IF(W28=0,0,W28/W$35*K$2)</f>
        <v>0</v>
      </c>
      <c r="M28" s="61"/>
      <c r="N28" s="42" t="n">
        <f aca="false">IF(X28=0,0,X28/X$35*M$2)</f>
        <v>0</v>
      </c>
      <c r="O28" s="62"/>
      <c r="P28" s="44" t="n">
        <f aca="false">IF(Y28=0,0,Y28/Y$35*O$2)</f>
        <v>0</v>
      </c>
      <c r="Q28" s="45" t="n">
        <f aca="false">SUM(D28,F28,H28,J28,L28,N28,P28)</f>
        <v>0</v>
      </c>
      <c r="R28" s="35" t="n">
        <f aca="false">IFERROR(INDEX(RoleFactor,MATCH(B28,RoleList,0)),1)</f>
        <v>1</v>
      </c>
      <c r="S28" s="36" t="n">
        <f aca="false">IF(C28="",0,INDEX(SunValue,MATCH(C28,ShiftList,0))*$R28)</f>
        <v>0</v>
      </c>
      <c r="T28" s="36" t="n">
        <f aca="false">IF(E28="",0,INDEX(MonValue,MATCH(E28,ShiftList,0))*$R28)</f>
        <v>0</v>
      </c>
      <c r="U28" s="36" t="n">
        <f aca="false">IF(G28="",0,INDEX(TueValue,MATCH(G28,ShiftList,0))*$R28)</f>
        <v>0</v>
      </c>
      <c r="V28" s="36" t="n">
        <f aca="false">IF(I28="",0,INDEX(WedValue,MATCH(I28,ShiftList,0))*$R28)</f>
        <v>0</v>
      </c>
      <c r="W28" s="36" t="n">
        <f aca="false">IF(K28="",0,INDEX(ThuValue,MATCH(K28,ShiftList,0))*$R28)</f>
        <v>0</v>
      </c>
      <c r="X28" s="36" t="n">
        <f aca="false">IF(M28="",0,INDEX(FriValue,MATCH(M28,ShiftList,0))*$R28)</f>
        <v>0</v>
      </c>
      <c r="Y28" s="36" t="n">
        <f aca="false">IF(O28="",0,INDEX(SatValue,MATCH(O28,ShiftList,0))*$R28)</f>
        <v>0</v>
      </c>
      <c r="AF28" s="1"/>
    </row>
    <row r="29" customFormat="false" ht="18" hidden="false" customHeight="true" outlineLevel="0" collapsed="false">
      <c r="A29" s="26"/>
      <c r="B29" s="27"/>
      <c r="C29" s="55"/>
      <c r="D29" s="29" t="n">
        <f aca="false">IF(S29=0,0,S29/S$35*C$2)</f>
        <v>0</v>
      </c>
      <c r="E29" s="56"/>
      <c r="F29" s="31" t="n">
        <f aca="false">IF(T29=0,0,T29/T$35*E$2)</f>
        <v>0</v>
      </c>
      <c r="G29" s="57"/>
      <c r="H29" s="29" t="n">
        <f aca="false">IF(U29=0,0,U29/U$35*G$2)</f>
        <v>0</v>
      </c>
      <c r="I29" s="56"/>
      <c r="J29" s="31" t="n">
        <f aca="false">IF(V29=0,0,V29/V$35*I$2)</f>
        <v>0</v>
      </c>
      <c r="K29" s="57"/>
      <c r="L29" s="29" t="n">
        <f aca="false">IF(W29=0,0,W29/W$35*K$2)</f>
        <v>0</v>
      </c>
      <c r="M29" s="56"/>
      <c r="N29" s="31" t="n">
        <f aca="false">IF(X29=0,0,X29/X$35*M$2)</f>
        <v>0</v>
      </c>
      <c r="O29" s="57"/>
      <c r="P29" s="33" t="n">
        <f aca="false">IF(Y29=0,0,Y29/Y$35*O$2)</f>
        <v>0</v>
      </c>
      <c r="Q29" s="34" t="n">
        <f aca="false">SUM(D29,F29,H29,J29,L29,N29,P29)</f>
        <v>0</v>
      </c>
      <c r="R29" s="35" t="n">
        <f aca="false">IFERROR(INDEX(RoleFactor,MATCH(B29,RoleList,0)),1)</f>
        <v>1</v>
      </c>
      <c r="S29" s="36" t="n">
        <f aca="false">IF(C29="",0,INDEX(SunValue,MATCH(C29,ShiftList,0))*$R29)</f>
        <v>0</v>
      </c>
      <c r="T29" s="36" t="n">
        <f aca="false">IF(E29="",0,INDEX(MonValue,MATCH(E29,ShiftList,0))*$R29)</f>
        <v>0</v>
      </c>
      <c r="U29" s="36" t="n">
        <f aca="false">IF(G29="",0,INDEX(TueValue,MATCH(G29,ShiftList,0))*$R29)</f>
        <v>0</v>
      </c>
      <c r="V29" s="36" t="n">
        <f aca="false">IF(I29="",0,INDEX(WedValue,MATCH(I29,ShiftList,0))*$R29)</f>
        <v>0</v>
      </c>
      <c r="W29" s="36" t="n">
        <f aca="false">IF(K29="",0,INDEX(ThuValue,MATCH(K29,ShiftList,0))*$R29)</f>
        <v>0</v>
      </c>
      <c r="X29" s="36" t="n">
        <f aca="false">IF(M29="",0,INDEX(FriValue,MATCH(M29,ShiftList,0))*$R29)</f>
        <v>0</v>
      </c>
      <c r="Y29" s="36" t="n">
        <f aca="false">IF(O29="",0,INDEX(SatValue,MATCH(O29,ShiftList,0))*$R29)</f>
        <v>0</v>
      </c>
      <c r="AF29" s="1"/>
    </row>
    <row r="30" customFormat="false" ht="18" hidden="false" customHeight="true" outlineLevel="0" collapsed="false">
      <c r="A30" s="37"/>
      <c r="B30" s="38"/>
      <c r="C30" s="63"/>
      <c r="D30" s="40" t="n">
        <f aca="false">IF(S30=0,0,S30/S$35*C$2)</f>
        <v>0</v>
      </c>
      <c r="E30" s="61"/>
      <c r="F30" s="42" t="n">
        <f aca="false">IF(T30=0,0,T30/T$35*E$2)</f>
        <v>0</v>
      </c>
      <c r="G30" s="62"/>
      <c r="H30" s="40" t="n">
        <f aca="false">IF(U30=0,0,U30/U$35*G$2)</f>
        <v>0</v>
      </c>
      <c r="I30" s="61"/>
      <c r="J30" s="42" t="n">
        <f aca="false">IF(V30=0,0,V30/V$35*I$2)</f>
        <v>0</v>
      </c>
      <c r="K30" s="62"/>
      <c r="L30" s="40" t="n">
        <f aca="false">IF(W30=0,0,W30/W$35*K$2)</f>
        <v>0</v>
      </c>
      <c r="M30" s="61"/>
      <c r="N30" s="42" t="n">
        <f aca="false">IF(X30=0,0,X30/X$35*M$2)</f>
        <v>0</v>
      </c>
      <c r="O30" s="62"/>
      <c r="P30" s="44" t="n">
        <f aca="false">IF(Y30=0,0,Y30/Y$35*O$2)</f>
        <v>0</v>
      </c>
      <c r="Q30" s="45" t="n">
        <f aca="false">SUM(D30,F30,H30,J30,L30,N30,P30)</f>
        <v>0</v>
      </c>
      <c r="R30" s="35" t="n">
        <f aca="false">IFERROR(INDEX(RoleFactor,MATCH(B30,RoleList,0)),1)</f>
        <v>1</v>
      </c>
      <c r="S30" s="36" t="n">
        <f aca="false">IF(C30="",0,INDEX(SunValue,MATCH(C30,ShiftList,0))*$R30)</f>
        <v>0</v>
      </c>
      <c r="T30" s="36" t="n">
        <f aca="false">IF(E30="",0,INDEX(MonValue,MATCH(E30,ShiftList,0))*$R30)</f>
        <v>0</v>
      </c>
      <c r="U30" s="36" t="n">
        <f aca="false">IF(G30="",0,INDEX(TueValue,MATCH(G30,ShiftList,0))*$R30)</f>
        <v>0</v>
      </c>
      <c r="V30" s="36" t="n">
        <f aca="false">IF(I30="",0,INDEX(WedValue,MATCH(I30,ShiftList,0))*$R30)</f>
        <v>0</v>
      </c>
      <c r="W30" s="36" t="n">
        <f aca="false">IF(K30="",0,INDEX(ThuValue,MATCH(K30,ShiftList,0))*$R30)</f>
        <v>0</v>
      </c>
      <c r="X30" s="36" t="n">
        <f aca="false">IF(M30="",0,INDEX(FriValue,MATCH(M30,ShiftList,0))*$R30)</f>
        <v>0</v>
      </c>
      <c r="Y30" s="36" t="n">
        <f aca="false">IF(O30="",0,INDEX(SatValue,MATCH(O30,ShiftList,0))*$R30)</f>
        <v>0</v>
      </c>
      <c r="AF30" s="1"/>
    </row>
    <row r="31" customFormat="false" ht="18" hidden="false" customHeight="true" outlineLevel="0" collapsed="false">
      <c r="A31" s="26"/>
      <c r="B31" s="27"/>
      <c r="C31" s="55"/>
      <c r="D31" s="29" t="n">
        <f aca="false">IF(S31=0,0,S31/S$35*C$2)</f>
        <v>0</v>
      </c>
      <c r="E31" s="56"/>
      <c r="F31" s="31" t="n">
        <f aca="false">IF(T31=0,0,T31/T$35*E$2)</f>
        <v>0</v>
      </c>
      <c r="G31" s="57"/>
      <c r="H31" s="29" t="n">
        <f aca="false">IF(U31=0,0,U31/U$35*G$2)</f>
        <v>0</v>
      </c>
      <c r="I31" s="56"/>
      <c r="J31" s="31" t="n">
        <f aca="false">IF(V31=0,0,V31/V$35*I$2)</f>
        <v>0</v>
      </c>
      <c r="K31" s="57"/>
      <c r="L31" s="29" t="n">
        <f aca="false">IF(W31=0,0,W31/W$35*K$2)</f>
        <v>0</v>
      </c>
      <c r="M31" s="56"/>
      <c r="N31" s="31" t="n">
        <f aca="false">IF(X31=0,0,X31/X$35*M$2)</f>
        <v>0</v>
      </c>
      <c r="O31" s="57"/>
      <c r="P31" s="33" t="n">
        <f aca="false">IF(Y31=0,0,Y31/Y$35*O$2)</f>
        <v>0</v>
      </c>
      <c r="Q31" s="34" t="n">
        <f aca="false">SUM(D31,F31,H31,J31,L31,N31,P31)</f>
        <v>0</v>
      </c>
      <c r="R31" s="35" t="n">
        <f aca="false">IFERROR(INDEX(RoleFactor,MATCH(B31,RoleList,0)),1)</f>
        <v>1</v>
      </c>
      <c r="S31" s="36" t="n">
        <f aca="false">IF(C31="",0,INDEX(SunValue,MATCH(C31,ShiftList,0))*$R31)</f>
        <v>0</v>
      </c>
      <c r="T31" s="36" t="n">
        <f aca="false">IF(E31="",0,INDEX(MonValue,MATCH(E31,ShiftList,0))*$R31)</f>
        <v>0</v>
      </c>
      <c r="U31" s="36" t="n">
        <f aca="false">IF(G31="",0,INDEX(TueValue,MATCH(G31,ShiftList,0))*$R31)</f>
        <v>0</v>
      </c>
      <c r="V31" s="36" t="n">
        <f aca="false">IF(I31="",0,INDEX(WedValue,MATCH(I31,ShiftList,0))*$R31)</f>
        <v>0</v>
      </c>
      <c r="W31" s="36" t="n">
        <f aca="false">IF(K31="",0,INDEX(ThuValue,MATCH(K31,ShiftList,0))*$R31)</f>
        <v>0</v>
      </c>
      <c r="X31" s="36" t="n">
        <f aca="false">IF(M31="",0,INDEX(FriValue,MATCH(M31,ShiftList,0))*$R31)</f>
        <v>0</v>
      </c>
      <c r="Y31" s="36" t="n">
        <f aca="false">IF(O31="",0,INDEX(SatValue,MATCH(O31,ShiftList,0))*$R31)</f>
        <v>0</v>
      </c>
      <c r="AF31" s="1"/>
    </row>
    <row r="32" customFormat="false" ht="18" hidden="false" customHeight="true" outlineLevel="0" collapsed="false">
      <c r="A32" s="37"/>
      <c r="B32" s="38"/>
      <c r="C32" s="63"/>
      <c r="D32" s="40" t="n">
        <f aca="false">IF(S32=0,0,S32/S$35*C$2)</f>
        <v>0</v>
      </c>
      <c r="E32" s="61"/>
      <c r="F32" s="42" t="n">
        <f aca="false">IF(T32=0,0,T32/T$35*E$2)</f>
        <v>0</v>
      </c>
      <c r="G32" s="62"/>
      <c r="H32" s="40" t="n">
        <f aca="false">IF(U32=0,0,U32/U$35*G$2)</f>
        <v>0</v>
      </c>
      <c r="I32" s="61"/>
      <c r="J32" s="42" t="n">
        <f aca="false">IF(V32=0,0,V32/V$35*I$2)</f>
        <v>0</v>
      </c>
      <c r="K32" s="62"/>
      <c r="L32" s="40" t="n">
        <f aca="false">IF(W32=0,0,W32/W$35*K$2)</f>
        <v>0</v>
      </c>
      <c r="M32" s="61"/>
      <c r="N32" s="42" t="n">
        <f aca="false">IF(X32=0,0,X32/X$35*M$2)</f>
        <v>0</v>
      </c>
      <c r="O32" s="62"/>
      <c r="P32" s="44" t="n">
        <f aca="false">IF(Y32=0,0,Y32/Y$35*O$2)</f>
        <v>0</v>
      </c>
      <c r="Q32" s="45" t="n">
        <f aca="false">SUM(D32,F32,H32,J32,L32,N32,P32)</f>
        <v>0</v>
      </c>
      <c r="R32" s="35" t="n">
        <f aca="false">IFERROR(INDEX(RoleFactor,MATCH(B32,RoleList,0)),1)</f>
        <v>1</v>
      </c>
      <c r="S32" s="36" t="n">
        <f aca="false">IF(C32="",0,INDEX(SunValue,MATCH(C32,ShiftList,0))*$R32)</f>
        <v>0</v>
      </c>
      <c r="T32" s="36" t="n">
        <f aca="false">IF(E32="",0,INDEX(MonValue,MATCH(E32,ShiftList,0))*$R32)</f>
        <v>0</v>
      </c>
      <c r="U32" s="36" t="n">
        <f aca="false">IF(G32="",0,INDEX(TueValue,MATCH(G32,ShiftList,0))*$R32)</f>
        <v>0</v>
      </c>
      <c r="V32" s="36" t="n">
        <f aca="false">IF(I32="",0,INDEX(WedValue,MATCH(I32,ShiftList,0))*$R32)</f>
        <v>0</v>
      </c>
      <c r="W32" s="36" t="n">
        <f aca="false">IF(K32="",0,INDEX(ThuValue,MATCH(K32,ShiftList,0))*$R32)</f>
        <v>0</v>
      </c>
      <c r="X32" s="36" t="n">
        <f aca="false">IF(M32="",0,INDEX(FriValue,MATCH(M32,ShiftList,0))*$R32)</f>
        <v>0</v>
      </c>
      <c r="Y32" s="36" t="n">
        <f aca="false">IF(O32="",0,INDEX(SatValue,MATCH(O32,ShiftList,0))*$R32)</f>
        <v>0</v>
      </c>
      <c r="AF32" s="1"/>
    </row>
    <row r="33" customFormat="false" ht="18" hidden="false" customHeight="true" outlineLevel="0" collapsed="false">
      <c r="A33" s="26"/>
      <c r="B33" s="27"/>
      <c r="C33" s="55"/>
      <c r="D33" s="29" t="n">
        <f aca="false">IF(S33=0,0,S33/S$35*C$2)</f>
        <v>0</v>
      </c>
      <c r="E33" s="56"/>
      <c r="F33" s="31" t="n">
        <f aca="false">IF(T33=0,0,T33/T$35*E$2)</f>
        <v>0</v>
      </c>
      <c r="G33" s="57"/>
      <c r="H33" s="29" t="n">
        <f aca="false">IF(U33=0,0,U33/U$35*G$2)</f>
        <v>0</v>
      </c>
      <c r="I33" s="56"/>
      <c r="J33" s="31" t="n">
        <f aca="false">IF(V33=0,0,V33/V$35*I$2)</f>
        <v>0</v>
      </c>
      <c r="K33" s="57"/>
      <c r="L33" s="29" t="n">
        <f aca="false">IF(W33=0,0,W33/W$35*K$2)</f>
        <v>0</v>
      </c>
      <c r="M33" s="56"/>
      <c r="N33" s="31" t="n">
        <f aca="false">IF(X33=0,0,X33/X$35*M$2)</f>
        <v>0</v>
      </c>
      <c r="O33" s="57"/>
      <c r="P33" s="33" t="n">
        <f aca="false">IF(Y33=0,0,Y33/Y$35*O$2)</f>
        <v>0</v>
      </c>
      <c r="Q33" s="34" t="n">
        <f aca="false">SUM(D33,F33,H33,J33,L33,N33,P33)</f>
        <v>0</v>
      </c>
      <c r="R33" s="35" t="n">
        <f aca="false">IFERROR(INDEX(RoleFactor,MATCH(B33,RoleList,0)),1)</f>
        <v>1</v>
      </c>
      <c r="S33" s="36" t="n">
        <f aca="false">IF(C33="",0,INDEX(SunValue,MATCH(C33,ShiftList,0))*$R33)</f>
        <v>0</v>
      </c>
      <c r="T33" s="36" t="n">
        <f aca="false">IF(E33="",0,INDEX(MonValue,MATCH(E33,ShiftList,0))*$R33)</f>
        <v>0</v>
      </c>
      <c r="U33" s="36" t="n">
        <f aca="false">IF(G33="",0,INDEX(TueValue,MATCH(G33,ShiftList,0))*$R33)</f>
        <v>0</v>
      </c>
      <c r="V33" s="36" t="n">
        <f aca="false">IF(I33="",0,INDEX(WedValue,MATCH(I33,ShiftList,0))*$R33)</f>
        <v>0</v>
      </c>
      <c r="W33" s="36" t="n">
        <f aca="false">IF(K33="",0,INDEX(ThuValue,MATCH(K33,ShiftList,0))*$R33)</f>
        <v>0</v>
      </c>
      <c r="X33" s="36" t="n">
        <f aca="false">IF(M33="",0,INDEX(FriValue,MATCH(M33,ShiftList,0))*$R33)</f>
        <v>0</v>
      </c>
      <c r="Y33" s="36" t="n">
        <f aca="false">IF(O33="",0,INDEX(SatValue,MATCH(O33,ShiftList,0))*$R33)</f>
        <v>0</v>
      </c>
      <c r="AF33" s="1"/>
    </row>
    <row r="34" customFormat="false" ht="18" hidden="false" customHeight="true" outlineLevel="0" collapsed="false">
      <c r="A34" s="46"/>
      <c r="B34" s="47"/>
      <c r="C34" s="64"/>
      <c r="D34" s="49" t="n">
        <f aca="false">IF(S34=0,0,S34/S$35*C$2)</f>
        <v>0</v>
      </c>
      <c r="E34" s="65"/>
      <c r="F34" s="51" t="n">
        <f aca="false">IF(T34=0,0,T34/T$35*E$2)</f>
        <v>0</v>
      </c>
      <c r="G34" s="66"/>
      <c r="H34" s="49" t="n">
        <f aca="false">IF(U34=0,0,U34/U$35*G$2)</f>
        <v>0</v>
      </c>
      <c r="I34" s="65"/>
      <c r="J34" s="51" t="n">
        <f aca="false">IF(V34=0,0,V34/V$35*I$2)</f>
        <v>0</v>
      </c>
      <c r="K34" s="66"/>
      <c r="L34" s="49" t="n">
        <f aca="false">IF(W34=0,0,W34/W$35*K$2)</f>
        <v>0</v>
      </c>
      <c r="M34" s="65"/>
      <c r="N34" s="51" t="n">
        <f aca="false">IF(X34=0,0,X34/X$35*M$2)</f>
        <v>0</v>
      </c>
      <c r="O34" s="66"/>
      <c r="P34" s="53" t="n">
        <f aca="false">IF(Y34=0,0,Y34/Y$35*O$2)</f>
        <v>0</v>
      </c>
      <c r="Q34" s="54" t="n">
        <f aca="false">SUM(D34,F34,H34,J34,L34,N34,P34)</f>
        <v>0</v>
      </c>
      <c r="R34" s="35" t="n">
        <f aca="false">IFERROR(INDEX(RoleFactor,MATCH(B34,RoleList,0)),1)</f>
        <v>1</v>
      </c>
      <c r="S34" s="36" t="n">
        <f aca="false">IF(C34="",0,INDEX(SunValue,MATCH(C34,ShiftList,0))*$R34)</f>
        <v>0</v>
      </c>
      <c r="T34" s="36" t="n">
        <f aca="false">IF(E34="",0,INDEX(MonValue,MATCH(E34,ShiftList,0))*$R34)</f>
        <v>0</v>
      </c>
      <c r="U34" s="36" t="n">
        <f aca="false">IF(G34="",0,INDEX(TueValue,MATCH(G34,ShiftList,0))*$R34)</f>
        <v>0</v>
      </c>
      <c r="V34" s="36" t="n">
        <f aca="false">IF(I34="",0,INDEX(WedValue,MATCH(I34,ShiftList,0))*$R34)</f>
        <v>0</v>
      </c>
      <c r="W34" s="36" t="n">
        <f aca="false">IF(K34="",0,INDEX(ThuValue,MATCH(K34,ShiftList,0))*$R34)</f>
        <v>0</v>
      </c>
      <c r="X34" s="36" t="n">
        <f aca="false">IF(M34="",0,INDEX(FriValue,MATCH(M34,ShiftList,0))*$R34)</f>
        <v>0</v>
      </c>
      <c r="Y34" s="36" t="n">
        <f aca="false">IF(O34="",0,INDEX(SatValue,MATCH(O34,ShiftList,0))*$R34)</f>
        <v>0</v>
      </c>
      <c r="AF34" s="1"/>
    </row>
    <row r="35" customFormat="false" ht="15" hidden="false" customHeight="true" outlineLevel="0" collapsed="false">
      <c r="R35" s="67" t="s">
        <v>43</v>
      </c>
      <c r="S35" s="68" t="n">
        <f aca="false">SUM(S5:S34)</f>
        <v>3.55348145604396</v>
      </c>
      <c r="T35" s="68" t="n">
        <f aca="false">SUM(T5:T34)</f>
        <v>5.93055555555556</v>
      </c>
      <c r="U35" s="68" t="n">
        <f aca="false">SUM(U5:U34)</f>
        <v>4.49910012210012</v>
      </c>
      <c r="V35" s="68" t="n">
        <f aca="false">SUM(V5:V34)</f>
        <v>5.84372557997558</v>
      </c>
      <c r="W35" s="68" t="n">
        <f aca="false">SUM(W5:W34)</f>
        <v>6.59643337912088</v>
      </c>
      <c r="X35" s="68" t="n">
        <f aca="false">SUM(X5:X34)</f>
        <v>5.46038614163614</v>
      </c>
      <c r="Y35" s="68" t="n">
        <f aca="false">SUM(Y5:Y34)</f>
        <v>8.40700892857143</v>
      </c>
    </row>
    <row r="36" customFormat="false" ht="18" hidden="false" customHeight="true" outlineLevel="0" collapsed="false">
      <c r="A36" s="69" t="s">
        <v>44</v>
      </c>
      <c r="B36" s="70" t="s">
        <v>45</v>
      </c>
      <c r="C36" s="70"/>
      <c r="D36" s="70"/>
    </row>
    <row r="37" customFormat="false" ht="18" hidden="false" customHeight="true" outlineLevel="0" collapsed="false">
      <c r="A37" s="71" t="s">
        <v>46</v>
      </c>
      <c r="B37" s="70" t="s">
        <v>45</v>
      </c>
      <c r="C37" s="70"/>
      <c r="D37" s="70"/>
    </row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</sheetData>
  <mergeCells count="14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</mergeCells>
  <dataValidations count="2">
    <dataValidation allowBlank="true" error="Please use HH:MM-HH:MM format." errorStyle="stop" errorTitle="Invalid shift" operator="between" showDropDown="false" showErrorMessage="true" showInputMessage="false" sqref="C5:C34 E5:E34 G5:G34 I5:I34 K5:K34 M5:M34 O5:O34" type="list">
      <formula1>ShiftList</formula1>
      <formula2>0</formula2>
    </dataValidation>
    <dataValidation allowBlank="true" errorStyle="stop" operator="between" showDropDown="false" showErrorMessage="false" showInputMessage="false" sqref="B5:B34" type="list">
      <formula1>RoleList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8" min="2" style="1" width="12"/>
  </cols>
  <sheetData>
    <row r="1" customFormat="false" ht="15" hidden="false" customHeight="true" outlineLevel="0" collapsed="false">
      <c r="A1" s="72" t="s">
        <v>47</v>
      </c>
      <c r="B1" s="72"/>
      <c r="C1" s="72"/>
      <c r="D1" s="72"/>
      <c r="E1" s="72"/>
      <c r="F1" s="72"/>
      <c r="G1" s="72"/>
      <c r="H1" s="72"/>
    </row>
    <row r="2" customFormat="false" ht="15" hidden="false" customHeight="true" outlineLevel="0" collapsed="false">
      <c r="A2" s="15" t="s">
        <v>48</v>
      </c>
    </row>
    <row r="3" customFormat="false" ht="15" hidden="false" customHeight="true" outlineLevel="0" collapsed="false">
      <c r="A3" s="73" t="s">
        <v>49</v>
      </c>
    </row>
    <row r="4" customFormat="false" ht="15" hidden="false" customHeight="true" outlineLevel="0" collapsed="false">
      <c r="A4" s="74" t="s">
        <v>50</v>
      </c>
    </row>
    <row r="5" customFormat="false" ht="15" hidden="false" customHeight="true" outlineLevel="0" collapsed="false">
      <c r="A5" s="74" t="s">
        <v>51</v>
      </c>
    </row>
    <row r="6" customFormat="false" ht="15" hidden="false" customHeight="true" outlineLevel="0" collapsed="false">
      <c r="A6" s="74" t="s">
        <v>52</v>
      </c>
    </row>
    <row r="7" customFormat="false" ht="15" hidden="false" customHeight="true" outlineLevel="0" collapsed="false">
      <c r="A7" s="74" t="s">
        <v>53</v>
      </c>
    </row>
    <row r="9" customFormat="false" ht="15" hidden="false" customHeight="true" outlineLevel="0" collapsed="false">
      <c r="A9" s="75" t="s">
        <v>54</v>
      </c>
      <c r="B9" s="75"/>
      <c r="C9" s="75"/>
      <c r="D9" s="75"/>
      <c r="E9" s="75"/>
      <c r="F9" s="75"/>
      <c r="G9" s="75"/>
      <c r="H9" s="75"/>
    </row>
    <row r="10" customFormat="false" ht="15" hidden="false" customHeight="true" outlineLevel="0" collapsed="false">
      <c r="A10" s="76"/>
      <c r="B10" s="76" t="s">
        <v>55</v>
      </c>
      <c r="C10" s="76" t="s">
        <v>56</v>
      </c>
      <c r="D10" s="76" t="s">
        <v>57</v>
      </c>
      <c r="E10" s="76" t="s">
        <v>58</v>
      </c>
      <c r="F10" s="76" t="s">
        <v>59</v>
      </c>
      <c r="G10" s="76" t="s">
        <v>60</v>
      </c>
      <c r="H10" s="76" t="s">
        <v>61</v>
      </c>
    </row>
    <row r="11" customFormat="false" ht="15" hidden="false" customHeight="true" outlineLevel="0" collapsed="false">
      <c r="A11" s="77" t="s">
        <v>62</v>
      </c>
      <c r="B11" s="78" t="n">
        <v>12</v>
      </c>
      <c r="C11" s="78" t="n">
        <v>10</v>
      </c>
      <c r="D11" s="78" t="n">
        <v>10</v>
      </c>
      <c r="E11" s="78" t="n">
        <v>10</v>
      </c>
      <c r="F11" s="78" t="n">
        <v>10</v>
      </c>
      <c r="G11" s="78" t="n">
        <v>10</v>
      </c>
      <c r="H11" s="78" t="n">
        <v>10</v>
      </c>
    </row>
    <row r="12" customFormat="false" ht="15" hidden="false" customHeight="true" outlineLevel="0" collapsed="false">
      <c r="A12" s="77" t="s">
        <v>63</v>
      </c>
      <c r="B12" s="78" t="n">
        <v>18</v>
      </c>
      <c r="C12" s="78" t="n">
        <v>20</v>
      </c>
      <c r="D12" s="78" t="n">
        <v>20</v>
      </c>
      <c r="E12" s="78" t="n">
        <v>20</v>
      </c>
      <c r="F12" s="78" t="n">
        <v>20</v>
      </c>
      <c r="G12" s="78" t="n">
        <v>20</v>
      </c>
      <c r="H12" s="78" t="n">
        <v>20</v>
      </c>
    </row>
    <row r="13" customFormat="false" ht="15" hidden="false" customHeight="true" outlineLevel="0" collapsed="false">
      <c r="A13" s="15" t="s">
        <v>64</v>
      </c>
    </row>
    <row r="14" customFormat="false" ht="15" hidden="false" customHeight="true" outlineLevel="0" collapsed="false">
      <c r="A14" s="75" t="s">
        <v>65</v>
      </c>
      <c r="B14" s="75"/>
      <c r="C14" s="75"/>
      <c r="D14" s="75"/>
      <c r="E14" s="75"/>
      <c r="F14" s="75"/>
    </row>
    <row r="15" customFormat="false" ht="15" hidden="false" customHeight="true" outlineLevel="0" collapsed="false">
      <c r="A15" s="76" t="s">
        <v>13</v>
      </c>
      <c r="B15" s="76" t="s">
        <v>66</v>
      </c>
      <c r="C15" s="76" t="s">
        <v>67</v>
      </c>
      <c r="D15" s="76" t="s">
        <v>68</v>
      </c>
      <c r="E15" s="76" t="s">
        <v>69</v>
      </c>
      <c r="F15" s="76" t="s">
        <v>70</v>
      </c>
    </row>
    <row r="16" customFormat="false" ht="15" hidden="false" customHeight="true" outlineLevel="0" collapsed="false">
      <c r="A16" s="79" t="s">
        <v>28</v>
      </c>
      <c r="B16" s="78" t="n">
        <v>8</v>
      </c>
      <c r="C16" s="78" t="n">
        <v>17</v>
      </c>
      <c r="D16" s="80" t="n">
        <f aca="false">C16-B16</f>
        <v>9</v>
      </c>
      <c r="E16" s="80" t="n">
        <f aca="false">IF(D16&gt;$B$36,$B$37,$B$38)</f>
        <v>1</v>
      </c>
      <c r="F16" s="81" t="n">
        <f aca="false">IF(D16=0,0,E16/D16)</f>
        <v>0.111111111111111</v>
      </c>
    </row>
    <row r="17" customFormat="false" ht="15" hidden="false" customHeight="true" outlineLevel="0" collapsed="false">
      <c r="A17" s="79" t="s">
        <v>26</v>
      </c>
      <c r="B17" s="78" t="n">
        <v>10</v>
      </c>
      <c r="C17" s="78" t="n">
        <v>19</v>
      </c>
      <c r="D17" s="80" t="n">
        <f aca="false">C17-B17</f>
        <v>9</v>
      </c>
      <c r="E17" s="80" t="n">
        <f aca="false">IF(D17&gt;$B$36,$B$37,$B$38)</f>
        <v>1</v>
      </c>
      <c r="F17" s="81" t="n">
        <f aca="false">IF(D17=0,0,E17/D17)</f>
        <v>0.111111111111111</v>
      </c>
    </row>
    <row r="18" customFormat="false" ht="15" hidden="false" customHeight="true" outlineLevel="0" collapsed="false">
      <c r="A18" s="79" t="s">
        <v>34</v>
      </c>
      <c r="B18" s="78" t="n">
        <v>10</v>
      </c>
      <c r="C18" s="78" t="n">
        <v>14.5</v>
      </c>
      <c r="D18" s="80" t="n">
        <f aca="false">C18-B18</f>
        <v>4.5</v>
      </c>
      <c r="E18" s="80" t="n">
        <f aca="false">IF(D18&gt;$B$36,$B$37,$B$38)</f>
        <v>0.5</v>
      </c>
      <c r="F18" s="81" t="n">
        <f aca="false">IF(D18=0,0,E18/D18)</f>
        <v>0.111111111111111</v>
      </c>
    </row>
    <row r="19" customFormat="false" ht="15" hidden="false" customHeight="true" outlineLevel="0" collapsed="false">
      <c r="A19" s="79" t="s">
        <v>31</v>
      </c>
      <c r="B19" s="78" t="n">
        <v>10</v>
      </c>
      <c r="C19" s="78" t="n">
        <v>17</v>
      </c>
      <c r="D19" s="80" t="n">
        <f aca="false">C19-B19</f>
        <v>7</v>
      </c>
      <c r="E19" s="80" t="n">
        <f aca="false">IF(D19&gt;$B$36,$B$37,$B$38)</f>
        <v>0.5</v>
      </c>
      <c r="F19" s="81" t="n">
        <f aca="false">IF(D19=0,0,E19/D19)</f>
        <v>0.0714285714285714</v>
      </c>
    </row>
    <row r="20" customFormat="false" ht="15" hidden="false" customHeight="true" outlineLevel="0" collapsed="false">
      <c r="A20" s="79" t="s">
        <v>27</v>
      </c>
      <c r="B20" s="78" t="n">
        <v>12.5</v>
      </c>
      <c r="C20" s="78" t="n">
        <v>19</v>
      </c>
      <c r="D20" s="80" t="n">
        <f aca="false">C20-B20</f>
        <v>6.5</v>
      </c>
      <c r="E20" s="80" t="n">
        <f aca="false">IF(D20&gt;$B$36,$B$37,$B$38)</f>
        <v>0.5</v>
      </c>
      <c r="F20" s="81" t="n">
        <f aca="false">IF(D20=0,0,E20/D20)</f>
        <v>0.0769230769230769</v>
      </c>
    </row>
    <row r="21" customFormat="false" ht="15" hidden="false" customHeight="true" outlineLevel="0" collapsed="false">
      <c r="A21" s="79" t="s">
        <v>30</v>
      </c>
      <c r="B21" s="78" t="n">
        <v>11.5</v>
      </c>
      <c r="C21" s="78" t="n">
        <v>20.5</v>
      </c>
      <c r="D21" s="80" t="n">
        <f aca="false">C21-B21</f>
        <v>9</v>
      </c>
      <c r="E21" s="80" t="n">
        <f aca="false">IF(D21&gt;$B$36,$B$37,$B$38)</f>
        <v>1</v>
      </c>
      <c r="F21" s="81" t="n">
        <f aca="false">IF(D21=0,0,E21/D21)</f>
        <v>0.111111111111111</v>
      </c>
    </row>
    <row r="22" customFormat="false" ht="15" hidden="false" customHeight="true" outlineLevel="0" collapsed="false">
      <c r="A22" s="79" t="s">
        <v>32</v>
      </c>
      <c r="B22" s="78" t="n">
        <v>13.5</v>
      </c>
      <c r="C22" s="78" t="n">
        <v>20.5</v>
      </c>
      <c r="D22" s="80" t="n">
        <f aca="false">C22-B22</f>
        <v>7</v>
      </c>
      <c r="E22" s="80" t="n">
        <f aca="false">IF(D22&gt;$B$36,$B$37,$B$38)</f>
        <v>0.5</v>
      </c>
      <c r="F22" s="81" t="n">
        <f aca="false">IF(D22=0,0,E22/D22)</f>
        <v>0.0714285714285714</v>
      </c>
    </row>
    <row r="23" customFormat="false" ht="15" hidden="false" customHeight="true" outlineLevel="0" collapsed="false">
      <c r="A23" s="15" t="s">
        <v>71</v>
      </c>
    </row>
    <row r="25" customFormat="false" ht="15" hidden="false" customHeight="true" outlineLevel="0" collapsed="false">
      <c r="A25" s="75" t="s">
        <v>72</v>
      </c>
      <c r="B25" s="75"/>
    </row>
    <row r="26" customFormat="false" ht="15" hidden="false" customHeight="true" outlineLevel="0" collapsed="false">
      <c r="A26" s="76" t="s">
        <v>12</v>
      </c>
      <c r="B26" s="76" t="s">
        <v>73</v>
      </c>
    </row>
    <row r="27" customFormat="false" ht="15" hidden="false" customHeight="true" outlineLevel="0" collapsed="false">
      <c r="A27" s="82" t="s">
        <v>25</v>
      </c>
      <c r="B27" s="78" t="n">
        <v>1</v>
      </c>
    </row>
    <row r="28" customFormat="false" ht="15" hidden="false" customHeight="true" outlineLevel="0" collapsed="false">
      <c r="A28" s="82" t="s">
        <v>74</v>
      </c>
      <c r="B28" s="78" t="n">
        <v>0.88</v>
      </c>
    </row>
    <row r="29" customFormat="false" ht="15" hidden="false" customHeight="true" outlineLevel="0" collapsed="false">
      <c r="A29" s="82" t="s">
        <v>36</v>
      </c>
      <c r="B29" s="78" t="n">
        <v>0.8</v>
      </c>
    </row>
    <row r="30" customFormat="false" ht="15" hidden="false" customHeight="true" outlineLevel="0" collapsed="false">
      <c r="A30" s="15" t="s">
        <v>75</v>
      </c>
    </row>
    <row r="32" customFormat="false" ht="15" hidden="false" customHeight="true" outlineLevel="0" collapsed="false">
      <c r="A32" s="75" t="s">
        <v>76</v>
      </c>
      <c r="B32" s="75"/>
    </row>
    <row r="33" customFormat="false" ht="15" hidden="false" customHeight="true" outlineLevel="0" collapsed="false">
      <c r="A33" s="77" t="s">
        <v>77</v>
      </c>
      <c r="B33" s="78" t="n">
        <v>8</v>
      </c>
    </row>
    <row r="35" customFormat="false" ht="15" hidden="false" customHeight="true" outlineLevel="0" collapsed="false">
      <c r="A35" s="75" t="s">
        <v>78</v>
      </c>
      <c r="B35" s="75"/>
    </row>
    <row r="36" customFormat="false" ht="15" hidden="false" customHeight="true" outlineLevel="0" collapsed="false">
      <c r="A36" s="77" t="s">
        <v>79</v>
      </c>
      <c r="B36" s="78" t="n">
        <v>8</v>
      </c>
    </row>
    <row r="37" customFormat="false" ht="15" hidden="false" customHeight="true" outlineLevel="0" collapsed="false">
      <c r="A37" s="77" t="s">
        <v>80</v>
      </c>
      <c r="B37" s="78" t="n">
        <v>1</v>
      </c>
    </row>
    <row r="38" customFormat="false" ht="15" hidden="false" customHeight="true" outlineLevel="0" collapsed="false">
      <c r="A38" s="77" t="s">
        <v>81</v>
      </c>
      <c r="B38" s="78" t="n">
        <v>0.5</v>
      </c>
    </row>
    <row r="39" customFormat="false" ht="15" hidden="false" customHeight="true" outlineLevel="0" collapsed="false">
      <c r="A39" s="75" t="s">
        <v>82</v>
      </c>
      <c r="B39" s="75"/>
      <c r="C39" s="75"/>
      <c r="D39" s="75"/>
      <c r="E39" s="75"/>
      <c r="F39" s="75"/>
      <c r="G39" s="75"/>
      <c r="H39" s="75"/>
    </row>
    <row r="40" customFormat="false" ht="15" hidden="false" customHeight="true" outlineLevel="0" collapsed="false">
      <c r="A40" s="76" t="s">
        <v>83</v>
      </c>
      <c r="B40" s="76" t="s">
        <v>55</v>
      </c>
      <c r="C40" s="76" t="s">
        <v>56</v>
      </c>
      <c r="D40" s="76" t="s">
        <v>57</v>
      </c>
      <c r="E40" s="76" t="s">
        <v>58</v>
      </c>
      <c r="F40" s="76" t="s">
        <v>59</v>
      </c>
      <c r="G40" s="76" t="s">
        <v>60</v>
      </c>
      <c r="H40" s="76" t="s">
        <v>61</v>
      </c>
    </row>
    <row r="41" customFormat="false" ht="15" hidden="false" customHeight="true" outlineLevel="0" collapsed="false">
      <c r="A41" s="83" t="n">
        <v>0</v>
      </c>
      <c r="B41" s="78" t="n">
        <v>1</v>
      </c>
      <c r="C41" s="78" t="n">
        <v>1</v>
      </c>
      <c r="D41" s="78" t="n">
        <v>1</v>
      </c>
      <c r="E41" s="78" t="n">
        <v>1</v>
      </c>
      <c r="F41" s="78" t="n">
        <v>1</v>
      </c>
      <c r="G41" s="78" t="n">
        <v>1</v>
      </c>
      <c r="H41" s="78" t="n">
        <v>1</v>
      </c>
    </row>
    <row r="42" customFormat="false" ht="15" hidden="false" customHeight="true" outlineLevel="0" collapsed="false">
      <c r="A42" s="83" t="n">
        <v>1</v>
      </c>
      <c r="B42" s="78" t="n">
        <v>1</v>
      </c>
      <c r="C42" s="78" t="n">
        <v>1</v>
      </c>
      <c r="D42" s="78" t="n">
        <v>1</v>
      </c>
      <c r="E42" s="78" t="n">
        <v>1</v>
      </c>
      <c r="F42" s="78" t="n">
        <v>1</v>
      </c>
      <c r="G42" s="78" t="n">
        <v>1</v>
      </c>
      <c r="H42" s="78" t="n">
        <v>1</v>
      </c>
    </row>
    <row r="43" customFormat="false" ht="15" hidden="false" customHeight="true" outlineLevel="0" collapsed="false">
      <c r="A43" s="83" t="n">
        <v>2</v>
      </c>
      <c r="B43" s="78" t="n">
        <v>1</v>
      </c>
      <c r="C43" s="78" t="n">
        <v>1</v>
      </c>
      <c r="D43" s="78" t="n">
        <v>1</v>
      </c>
      <c r="E43" s="78" t="n">
        <v>1</v>
      </c>
      <c r="F43" s="78" t="n">
        <v>1</v>
      </c>
      <c r="G43" s="78" t="n">
        <v>1</v>
      </c>
      <c r="H43" s="78" t="n">
        <v>1</v>
      </c>
    </row>
    <row r="44" customFormat="false" ht="15" hidden="false" customHeight="true" outlineLevel="0" collapsed="false">
      <c r="A44" s="83" t="n">
        <v>3</v>
      </c>
      <c r="B44" s="78" t="n">
        <v>1</v>
      </c>
      <c r="C44" s="78" t="n">
        <v>1</v>
      </c>
      <c r="D44" s="78" t="n">
        <v>1</v>
      </c>
      <c r="E44" s="78" t="n">
        <v>1</v>
      </c>
      <c r="F44" s="78" t="n">
        <v>1</v>
      </c>
      <c r="G44" s="78" t="n">
        <v>1</v>
      </c>
      <c r="H44" s="78" t="n">
        <v>1</v>
      </c>
    </row>
    <row r="45" customFormat="false" ht="15" hidden="false" customHeight="true" outlineLevel="0" collapsed="false">
      <c r="A45" s="83" t="n">
        <v>4</v>
      </c>
      <c r="B45" s="78" t="n">
        <v>1</v>
      </c>
      <c r="C45" s="78" t="n">
        <v>1</v>
      </c>
      <c r="D45" s="78" t="n">
        <v>1</v>
      </c>
      <c r="E45" s="78" t="n">
        <v>1</v>
      </c>
      <c r="F45" s="78" t="n">
        <v>1</v>
      </c>
      <c r="G45" s="78" t="n">
        <v>1</v>
      </c>
      <c r="H45" s="78" t="n">
        <v>1</v>
      </c>
    </row>
    <row r="46" customFormat="false" ht="15" hidden="false" customHeight="true" outlineLevel="0" collapsed="false">
      <c r="A46" s="83" t="n">
        <v>5</v>
      </c>
      <c r="B46" s="78" t="n">
        <v>1</v>
      </c>
      <c r="C46" s="78" t="n">
        <v>1</v>
      </c>
      <c r="D46" s="78" t="n">
        <v>1</v>
      </c>
      <c r="E46" s="78" t="n">
        <v>1</v>
      </c>
      <c r="F46" s="78" t="n">
        <v>1</v>
      </c>
      <c r="G46" s="78" t="n">
        <v>1</v>
      </c>
      <c r="H46" s="78" t="n">
        <v>1</v>
      </c>
    </row>
    <row r="47" customFormat="false" ht="15" hidden="false" customHeight="true" outlineLevel="0" collapsed="false">
      <c r="A47" s="83" t="n">
        <v>6</v>
      </c>
      <c r="B47" s="78" t="n">
        <v>1</v>
      </c>
      <c r="C47" s="78" t="n">
        <v>1</v>
      </c>
      <c r="D47" s="78" t="n">
        <v>1</v>
      </c>
      <c r="E47" s="78" t="n">
        <v>1</v>
      </c>
      <c r="F47" s="78" t="n">
        <v>1</v>
      </c>
      <c r="G47" s="78" t="n">
        <v>1</v>
      </c>
      <c r="H47" s="78" t="n">
        <v>1</v>
      </c>
    </row>
    <row r="48" customFormat="false" ht="15" hidden="false" customHeight="true" outlineLevel="0" collapsed="false">
      <c r="A48" s="83" t="n">
        <v>7</v>
      </c>
      <c r="B48" s="78" t="n">
        <v>1</v>
      </c>
      <c r="C48" s="78" t="n">
        <v>1</v>
      </c>
      <c r="D48" s="78" t="n">
        <v>1</v>
      </c>
      <c r="E48" s="78" t="n">
        <v>1</v>
      </c>
      <c r="F48" s="78" t="n">
        <v>1</v>
      </c>
      <c r="G48" s="78" t="n">
        <v>1</v>
      </c>
      <c r="H48" s="78" t="n">
        <v>1</v>
      </c>
    </row>
    <row r="49" customFormat="false" ht="15" hidden="false" customHeight="true" outlineLevel="0" collapsed="false">
      <c r="A49" s="83" t="n">
        <v>8</v>
      </c>
      <c r="B49" s="78" t="n">
        <v>1</v>
      </c>
      <c r="C49" s="78" t="n">
        <v>1</v>
      </c>
      <c r="D49" s="78" t="n">
        <v>1</v>
      </c>
      <c r="E49" s="78" t="n">
        <v>1</v>
      </c>
      <c r="F49" s="78" t="n">
        <v>1</v>
      </c>
      <c r="G49" s="78" t="n">
        <v>1</v>
      </c>
      <c r="H49" s="78" t="n">
        <v>1</v>
      </c>
    </row>
    <row r="50" customFormat="false" ht="15" hidden="false" customHeight="true" outlineLevel="0" collapsed="false">
      <c r="A50" s="83" t="n">
        <v>9</v>
      </c>
      <c r="B50" s="78" t="n">
        <v>1</v>
      </c>
      <c r="C50" s="78" t="n">
        <v>1</v>
      </c>
      <c r="D50" s="78" t="n">
        <v>1</v>
      </c>
      <c r="E50" s="78" t="n">
        <v>1</v>
      </c>
      <c r="F50" s="78" t="n">
        <v>1</v>
      </c>
      <c r="G50" s="78" t="n">
        <v>1</v>
      </c>
      <c r="H50" s="78" t="n">
        <v>1</v>
      </c>
    </row>
    <row r="51" customFormat="false" ht="15" hidden="false" customHeight="true" outlineLevel="0" collapsed="false">
      <c r="A51" s="83" t="n">
        <v>10</v>
      </c>
      <c r="B51" s="78" t="n">
        <v>1</v>
      </c>
      <c r="C51" s="78" t="n">
        <v>0.83</v>
      </c>
      <c r="D51" s="78" t="n">
        <v>0.83</v>
      </c>
      <c r="E51" s="78" t="n">
        <v>0.83</v>
      </c>
      <c r="F51" s="78" t="n">
        <v>0.8</v>
      </c>
      <c r="G51" s="78" t="n">
        <v>0.75</v>
      </c>
      <c r="H51" s="78" t="n">
        <v>1.03</v>
      </c>
    </row>
    <row r="52" customFormat="false" ht="15" hidden="false" customHeight="true" outlineLevel="0" collapsed="false">
      <c r="A52" s="83" t="n">
        <v>11</v>
      </c>
      <c r="B52" s="78" t="n">
        <v>1</v>
      </c>
      <c r="C52" s="78" t="n">
        <v>0.92</v>
      </c>
      <c r="D52" s="78" t="n">
        <v>0.92</v>
      </c>
      <c r="E52" s="78" t="n">
        <v>0.92</v>
      </c>
      <c r="F52" s="78" t="n">
        <v>0.89</v>
      </c>
      <c r="G52" s="78" t="n">
        <v>0.85</v>
      </c>
      <c r="H52" s="78" t="n">
        <v>1.13</v>
      </c>
    </row>
    <row r="53" customFormat="false" ht="15" hidden="false" customHeight="true" outlineLevel="0" collapsed="false">
      <c r="A53" s="83" t="n">
        <v>12</v>
      </c>
      <c r="B53" s="78" t="n">
        <v>1.26</v>
      </c>
      <c r="C53" s="78" t="n">
        <v>1.17</v>
      </c>
      <c r="D53" s="78" t="n">
        <v>1.17</v>
      </c>
      <c r="E53" s="78" t="n">
        <v>1.17</v>
      </c>
      <c r="F53" s="78" t="n">
        <v>1.11</v>
      </c>
      <c r="G53" s="78" t="n">
        <v>1.03</v>
      </c>
      <c r="H53" s="78" t="n">
        <v>1.18</v>
      </c>
    </row>
    <row r="54" customFormat="false" ht="15" hidden="false" customHeight="true" outlineLevel="0" collapsed="false">
      <c r="A54" s="83" t="n">
        <v>13</v>
      </c>
      <c r="B54" s="78" t="n">
        <v>1.21</v>
      </c>
      <c r="C54" s="78" t="n">
        <v>1.26</v>
      </c>
      <c r="D54" s="78" t="n">
        <v>1.26</v>
      </c>
      <c r="E54" s="78" t="n">
        <v>1.26</v>
      </c>
      <c r="F54" s="78" t="n">
        <v>1.19</v>
      </c>
      <c r="G54" s="78" t="n">
        <v>1.08</v>
      </c>
      <c r="H54" s="78" t="n">
        <v>1.13</v>
      </c>
    </row>
    <row r="55" customFormat="false" ht="15" hidden="false" customHeight="true" outlineLevel="0" collapsed="false">
      <c r="A55" s="83" t="n">
        <v>14</v>
      </c>
      <c r="B55" s="78" t="n">
        <v>1.06</v>
      </c>
      <c r="C55" s="78" t="n">
        <v>1.07</v>
      </c>
      <c r="D55" s="78" t="n">
        <v>1.07</v>
      </c>
      <c r="E55" s="78" t="n">
        <v>1.07</v>
      </c>
      <c r="F55" s="78" t="n">
        <v>1.02</v>
      </c>
      <c r="G55" s="78" t="n">
        <v>0.94</v>
      </c>
      <c r="H55" s="78" t="n">
        <v>1.08</v>
      </c>
    </row>
    <row r="56" customFormat="false" ht="15" hidden="false" customHeight="true" outlineLevel="0" collapsed="false">
      <c r="A56" s="83" t="n">
        <v>15</v>
      </c>
      <c r="B56" s="78" t="n">
        <v>0.97</v>
      </c>
      <c r="C56" s="78" t="n">
        <v>0.92</v>
      </c>
      <c r="D56" s="78" t="n">
        <v>0.92</v>
      </c>
      <c r="E56" s="78" t="n">
        <v>0.92</v>
      </c>
      <c r="F56" s="78" t="n">
        <v>0.91</v>
      </c>
      <c r="G56" s="78" t="n">
        <v>0.89</v>
      </c>
      <c r="H56" s="78" t="n">
        <v>1.03</v>
      </c>
    </row>
    <row r="57" customFormat="false" ht="15" hidden="false" customHeight="true" outlineLevel="0" collapsed="false">
      <c r="A57" s="83" t="n">
        <v>16</v>
      </c>
      <c r="B57" s="78" t="n">
        <v>0.82</v>
      </c>
      <c r="C57" s="78" t="n">
        <v>0.87</v>
      </c>
      <c r="D57" s="78" t="n">
        <v>0.87</v>
      </c>
      <c r="E57" s="78" t="n">
        <v>0.87</v>
      </c>
      <c r="F57" s="78" t="n">
        <v>0.92</v>
      </c>
      <c r="G57" s="78" t="n">
        <v>0.99</v>
      </c>
      <c r="H57" s="78" t="n">
        <v>0.98</v>
      </c>
    </row>
    <row r="58" customFormat="false" ht="15" hidden="false" customHeight="true" outlineLevel="0" collapsed="false">
      <c r="A58" s="83" t="n">
        <v>17</v>
      </c>
      <c r="B58" s="78" t="n">
        <v>0.68</v>
      </c>
      <c r="C58" s="78" t="n">
        <v>1.02</v>
      </c>
      <c r="D58" s="78" t="n">
        <v>1.02</v>
      </c>
      <c r="E58" s="78" t="n">
        <v>1.02</v>
      </c>
      <c r="F58" s="78" t="n">
        <v>1.08</v>
      </c>
      <c r="G58" s="78" t="n">
        <v>1.17</v>
      </c>
      <c r="H58" s="78" t="n">
        <v>0.93</v>
      </c>
    </row>
    <row r="59" customFormat="false" ht="15" hidden="false" customHeight="true" outlineLevel="0" collapsed="false">
      <c r="A59" s="83" t="n">
        <v>18</v>
      </c>
      <c r="B59" s="78" t="n">
        <v>1</v>
      </c>
      <c r="C59" s="78" t="n">
        <v>1.12</v>
      </c>
      <c r="D59" s="78" t="n">
        <v>1.12</v>
      </c>
      <c r="E59" s="78" t="n">
        <v>1.12</v>
      </c>
      <c r="F59" s="78" t="n">
        <v>1.18</v>
      </c>
      <c r="G59" s="78" t="n">
        <v>1.27</v>
      </c>
      <c r="H59" s="78" t="n">
        <v>0.83</v>
      </c>
    </row>
    <row r="60" customFormat="false" ht="15" hidden="false" customHeight="true" outlineLevel="0" collapsed="false">
      <c r="A60" s="83" t="n">
        <v>19</v>
      </c>
      <c r="B60" s="78" t="n">
        <v>1</v>
      </c>
      <c r="C60" s="78" t="n">
        <v>0.83</v>
      </c>
      <c r="D60" s="78" t="n">
        <v>0.83</v>
      </c>
      <c r="E60" s="78" t="n">
        <v>0.83</v>
      </c>
      <c r="F60" s="78" t="n">
        <v>0.91</v>
      </c>
      <c r="G60" s="78" t="n">
        <v>1.03</v>
      </c>
      <c r="H60" s="78" t="n">
        <v>0.69</v>
      </c>
    </row>
    <row r="61" customFormat="false" ht="15" hidden="false" customHeight="true" outlineLevel="0" collapsed="false">
      <c r="A61" s="83" t="n">
        <v>20</v>
      </c>
      <c r="B61" s="78" t="n">
        <v>1</v>
      </c>
      <c r="C61" s="78" t="n">
        <v>1</v>
      </c>
      <c r="D61" s="78" t="n">
        <v>1</v>
      </c>
      <c r="E61" s="78" t="n">
        <v>1</v>
      </c>
      <c r="F61" s="78" t="n">
        <v>1</v>
      </c>
      <c r="G61" s="78" t="n">
        <v>1</v>
      </c>
      <c r="H61" s="78" t="n">
        <v>1</v>
      </c>
    </row>
    <row r="62" customFormat="false" ht="15" hidden="false" customHeight="true" outlineLevel="0" collapsed="false">
      <c r="A62" s="83" t="n">
        <v>21</v>
      </c>
      <c r="B62" s="78" t="n">
        <v>1</v>
      </c>
      <c r="C62" s="78" t="n">
        <v>1</v>
      </c>
      <c r="D62" s="78" t="n">
        <v>1</v>
      </c>
      <c r="E62" s="78" t="n">
        <v>1</v>
      </c>
      <c r="F62" s="78" t="n">
        <v>1</v>
      </c>
      <c r="G62" s="78" t="n">
        <v>1</v>
      </c>
      <c r="H62" s="78" t="n">
        <v>1</v>
      </c>
    </row>
    <row r="63" customFormat="false" ht="15" hidden="false" customHeight="true" outlineLevel="0" collapsed="false">
      <c r="A63" s="83" t="n">
        <v>22</v>
      </c>
      <c r="B63" s="78" t="n">
        <v>1</v>
      </c>
      <c r="C63" s="78" t="n">
        <v>1</v>
      </c>
      <c r="D63" s="78" t="n">
        <v>1</v>
      </c>
      <c r="E63" s="78" t="n">
        <v>1</v>
      </c>
      <c r="F63" s="78" t="n">
        <v>1</v>
      </c>
      <c r="G63" s="78" t="n">
        <v>1</v>
      </c>
      <c r="H63" s="78" t="n">
        <v>1</v>
      </c>
    </row>
    <row r="64" customFormat="false" ht="15" hidden="false" customHeight="true" outlineLevel="0" collapsed="false">
      <c r="A64" s="83" t="n">
        <v>23</v>
      </c>
      <c r="B64" s="78" t="n">
        <v>1</v>
      </c>
      <c r="C64" s="78" t="n">
        <v>1</v>
      </c>
      <c r="D64" s="78" t="n">
        <v>1</v>
      </c>
      <c r="E64" s="78" t="n">
        <v>1</v>
      </c>
      <c r="F64" s="78" t="n">
        <v>1</v>
      </c>
      <c r="G64" s="78" t="n">
        <v>1</v>
      </c>
      <c r="H64" s="78" t="n">
        <v>1</v>
      </c>
    </row>
    <row r="65" customFormat="false" ht="15" hidden="false" customHeight="true" outlineLevel="0" collapsed="false">
      <c r="A65" s="15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8" min="2" style="1" width="11"/>
  </cols>
  <sheetData>
    <row r="1" customFormat="false" ht="15" hidden="false" customHeight="true" outlineLevel="0" collapsed="false">
      <c r="A1" s="72" t="s">
        <v>85</v>
      </c>
      <c r="B1" s="72"/>
      <c r="C1" s="72"/>
      <c r="D1" s="72"/>
      <c r="E1" s="72"/>
      <c r="F1" s="72"/>
      <c r="G1" s="72"/>
      <c r="H1" s="72"/>
    </row>
    <row r="2" customFormat="false" ht="15" hidden="false" customHeight="true" outlineLevel="0" collapsed="false">
      <c r="A2" s="15" t="s">
        <v>86</v>
      </c>
    </row>
    <row r="4" customFormat="false" ht="15" hidden="false" customHeight="true" outlineLevel="0" collapsed="false">
      <c r="A4" s="75" t="s">
        <v>87</v>
      </c>
      <c r="B4" s="75"/>
      <c r="C4" s="75"/>
      <c r="D4" s="75"/>
      <c r="E4" s="75"/>
      <c r="F4" s="75"/>
      <c r="G4" s="75"/>
      <c r="H4" s="75"/>
    </row>
    <row r="5" customFormat="false" ht="15" hidden="false" customHeight="true" outlineLevel="0" collapsed="false">
      <c r="A5" s="76" t="s">
        <v>13</v>
      </c>
      <c r="B5" s="76" t="s">
        <v>55</v>
      </c>
      <c r="C5" s="76" t="s">
        <v>56</v>
      </c>
      <c r="D5" s="76" t="s">
        <v>57</v>
      </c>
      <c r="E5" s="76" t="s">
        <v>58</v>
      </c>
      <c r="F5" s="76" t="s">
        <v>59</v>
      </c>
      <c r="G5" s="76" t="s">
        <v>60</v>
      </c>
      <c r="H5" s="76" t="s">
        <v>61</v>
      </c>
    </row>
    <row r="6" customFormat="false" ht="15" hidden="false" customHeight="true" outlineLevel="0" collapsed="false">
      <c r="A6" s="84" t="str">
        <f aca="false">Settings!$A$16</f>
        <v>8:00-17:00</v>
      </c>
      <c r="B6" s="85" t="n">
        <f aca="false">SUMPRODUCT((((((MIN(Settings!$C$16,Settings!B$12)+(Settings!$A$41:$A$64+1)-ABS(MIN(Settings!$C$16,Settings!B$12)-(Settings!$A$41:$A$64+1)))/2)-((MAX(Settings!$B$16,Settings!B$11)+Settings!$A$41:$A$64+ABS(MAX(Settings!$B$16,Settings!B$11)-Settings!$A$41:$A$64))/2))+ABS((((MIN(Settings!$C$16,Settings!B$12)+(Settings!$A$41:$A$64+1)-ABS(MIN(Settings!$C$16,Settings!B$12)-(Settings!$A$41:$A$64+1)))/2)-((MAX(Settings!$B$16,Settings!B$11)+Settings!$A$41:$A$64+ABS(MAX(Settings!$B$16,Settings!B$11)-Settings!$A$41:$A$64))/2))))/2),Settings!B$41:B$64)</f>
        <v>5.32</v>
      </c>
      <c r="C6" s="85" t="n">
        <f aca="false">SUMPRODUCT((((((MIN(Settings!$C$16,Settings!C$12)+(Settings!$A$41:$A$64+1)-ABS(MIN(Settings!$C$16,Settings!C$12)-(Settings!$A$41:$A$64+1)))/2)-((MAX(Settings!$B$16,Settings!C$11)+Settings!$A$41:$A$64+ABS(MAX(Settings!$B$16,Settings!C$11)-Settings!$A$41:$A$64))/2))+ABS((((MIN(Settings!$C$16,Settings!C$12)+(Settings!$A$41:$A$64+1)-ABS(MIN(Settings!$C$16,Settings!C$12)-(Settings!$A$41:$A$64+1)))/2)-((MAX(Settings!$B$16,Settings!C$11)+Settings!$A$41:$A$64+ABS(MAX(Settings!$B$16,Settings!C$11)-Settings!$A$41:$A$64))/2))))/2),Settings!C$41:C$64)</f>
        <v>7.04</v>
      </c>
      <c r="D6" s="85" t="n">
        <f aca="false">SUMPRODUCT((((((MIN(Settings!$C$16,Settings!D$12)+(Settings!$A$41:$A$64+1)-ABS(MIN(Settings!$C$16,Settings!D$12)-(Settings!$A$41:$A$64+1)))/2)-((MAX(Settings!$B$16,Settings!D$11)+Settings!$A$41:$A$64+ABS(MAX(Settings!$B$16,Settings!D$11)-Settings!$A$41:$A$64))/2))+ABS((((MIN(Settings!$C$16,Settings!D$12)+(Settings!$A$41:$A$64+1)-ABS(MIN(Settings!$C$16,Settings!D$12)-(Settings!$A$41:$A$64+1)))/2)-((MAX(Settings!$B$16,Settings!D$11)+Settings!$A$41:$A$64+ABS(MAX(Settings!$B$16,Settings!D$11)-Settings!$A$41:$A$64))/2))))/2),Settings!D$41:D$64)</f>
        <v>7.04</v>
      </c>
      <c r="E6" s="85" t="n">
        <f aca="false">SUMPRODUCT((((((MIN(Settings!$C$16,Settings!E$12)+(Settings!$A$41:$A$64+1)-ABS(MIN(Settings!$C$16,Settings!E$12)-(Settings!$A$41:$A$64+1)))/2)-((MAX(Settings!$B$16,Settings!E$11)+Settings!$A$41:$A$64+ABS(MAX(Settings!$B$16,Settings!E$11)-Settings!$A$41:$A$64))/2))+ABS((((MIN(Settings!$C$16,Settings!E$12)+(Settings!$A$41:$A$64+1)-ABS(MIN(Settings!$C$16,Settings!E$12)-(Settings!$A$41:$A$64+1)))/2)-((MAX(Settings!$B$16,Settings!E$11)+Settings!$A$41:$A$64+ABS(MAX(Settings!$B$16,Settings!E$11)-Settings!$A$41:$A$64))/2))))/2),Settings!E$41:E$64)</f>
        <v>7.04</v>
      </c>
      <c r="F6" s="85" t="n">
        <f aca="false">SUMPRODUCT((((((MIN(Settings!$C$16,Settings!F$12)+(Settings!$A$41:$A$64+1)-ABS(MIN(Settings!$C$16,Settings!F$12)-(Settings!$A$41:$A$64+1)))/2)-((MAX(Settings!$B$16,Settings!F$11)+Settings!$A$41:$A$64+ABS(MAX(Settings!$B$16,Settings!F$11)-Settings!$A$41:$A$64))/2))+ABS((((MIN(Settings!$C$16,Settings!F$12)+(Settings!$A$41:$A$64+1)-ABS(MIN(Settings!$C$16,Settings!F$12)-(Settings!$A$41:$A$64+1)))/2)-((MAX(Settings!$B$16,Settings!F$11)+Settings!$A$41:$A$64+ABS(MAX(Settings!$B$16,Settings!F$11)-Settings!$A$41:$A$64))/2))))/2),Settings!F$41:F$64)</f>
        <v>6.84</v>
      </c>
      <c r="G6" s="85" t="n">
        <f aca="false">SUMPRODUCT((((((MIN(Settings!$C$16,Settings!G$12)+(Settings!$A$41:$A$64+1)-ABS(MIN(Settings!$C$16,Settings!G$12)-(Settings!$A$41:$A$64+1)))/2)-((MAX(Settings!$B$16,Settings!G$11)+Settings!$A$41:$A$64+ABS(MAX(Settings!$B$16,Settings!G$11)-Settings!$A$41:$A$64))/2))+ABS((((MIN(Settings!$C$16,Settings!G$12)+(Settings!$A$41:$A$64+1)-ABS(MIN(Settings!$C$16,Settings!G$12)-(Settings!$A$41:$A$64+1)))/2)-((MAX(Settings!$B$16,Settings!G$11)+Settings!$A$41:$A$64+ABS(MAX(Settings!$B$16,Settings!G$11)-Settings!$A$41:$A$64))/2))))/2),Settings!G$41:G$64)</f>
        <v>6.53</v>
      </c>
      <c r="H6" s="85" t="n">
        <f aca="false">SUMPRODUCT((((((MIN(Settings!$C$16,Settings!H$12)+(Settings!$A$41:$A$64+1)-ABS(MIN(Settings!$C$16,Settings!H$12)-(Settings!$A$41:$A$64+1)))/2)-((MAX(Settings!$B$16,Settings!H$11)+Settings!$A$41:$A$64+ABS(MAX(Settings!$B$16,Settings!H$11)-Settings!$A$41:$A$64))/2))+ABS((((MIN(Settings!$C$16,Settings!H$12)+(Settings!$A$41:$A$64+1)-ABS(MIN(Settings!$C$16,Settings!H$12)-(Settings!$A$41:$A$64+1)))/2)-((MAX(Settings!$B$16,Settings!H$11)+Settings!$A$41:$A$64+ABS(MAX(Settings!$B$16,Settings!H$11)-Settings!$A$41:$A$64))/2))))/2),Settings!H$41:H$64)</f>
        <v>7.56</v>
      </c>
    </row>
    <row r="7" customFormat="false" ht="15" hidden="false" customHeight="true" outlineLevel="0" collapsed="false">
      <c r="A7" s="84" t="str">
        <f aca="false">Settings!$A$17</f>
        <v>10:00-19:00</v>
      </c>
      <c r="B7" s="85" t="n">
        <f aca="false">SUMPRODUCT((((((MIN(Settings!$C$17,Settings!B$12)+(Settings!$A$41:$A$64+1)-ABS(MIN(Settings!$C$17,Settings!B$12)-(Settings!$A$41:$A$64+1)))/2)-((MAX(Settings!$B$17,Settings!B$11)+Settings!$A$41:$A$64+ABS(MAX(Settings!$B$17,Settings!B$11)-Settings!$A$41:$A$64))/2))+ABS((((MIN(Settings!$C$17,Settings!B$12)+(Settings!$A$41:$A$64+1)-ABS(MIN(Settings!$C$17,Settings!B$12)-(Settings!$A$41:$A$64+1)))/2)-((MAX(Settings!$B$17,Settings!B$11)+Settings!$A$41:$A$64+ABS(MAX(Settings!$B$17,Settings!B$11)-Settings!$A$41:$A$64))/2))))/2),Settings!B$41:B$64)</f>
        <v>6</v>
      </c>
      <c r="C7" s="85" t="n">
        <f aca="false">SUMPRODUCT((((((MIN(Settings!$C$17,Settings!C$12)+(Settings!$A$41:$A$64+1)-ABS(MIN(Settings!$C$17,Settings!C$12)-(Settings!$A$41:$A$64+1)))/2)-((MAX(Settings!$B$17,Settings!C$11)+Settings!$A$41:$A$64+ABS(MAX(Settings!$B$17,Settings!C$11)-Settings!$A$41:$A$64))/2))+ABS((((MIN(Settings!$C$17,Settings!C$12)+(Settings!$A$41:$A$64+1)-ABS(MIN(Settings!$C$17,Settings!C$12)-(Settings!$A$41:$A$64+1)))/2)-((MAX(Settings!$B$17,Settings!C$11)+Settings!$A$41:$A$64+ABS(MAX(Settings!$B$17,Settings!C$11)-Settings!$A$41:$A$64))/2))))/2),Settings!C$41:C$64)</f>
        <v>9.18</v>
      </c>
      <c r="D7" s="85" t="n">
        <f aca="false">SUMPRODUCT((((((MIN(Settings!$C$17,Settings!D$12)+(Settings!$A$41:$A$64+1)-ABS(MIN(Settings!$C$17,Settings!D$12)-(Settings!$A$41:$A$64+1)))/2)-((MAX(Settings!$B$17,Settings!D$11)+Settings!$A$41:$A$64+ABS(MAX(Settings!$B$17,Settings!D$11)-Settings!$A$41:$A$64))/2))+ABS((((MIN(Settings!$C$17,Settings!D$12)+(Settings!$A$41:$A$64+1)-ABS(MIN(Settings!$C$17,Settings!D$12)-(Settings!$A$41:$A$64+1)))/2)-((MAX(Settings!$B$17,Settings!D$11)+Settings!$A$41:$A$64+ABS(MAX(Settings!$B$17,Settings!D$11)-Settings!$A$41:$A$64))/2))))/2),Settings!D$41:D$64)</f>
        <v>9.18</v>
      </c>
      <c r="E7" s="85" t="n">
        <f aca="false">SUMPRODUCT((((((MIN(Settings!$C$17,Settings!E$12)+(Settings!$A$41:$A$64+1)-ABS(MIN(Settings!$C$17,Settings!E$12)-(Settings!$A$41:$A$64+1)))/2)-((MAX(Settings!$B$17,Settings!E$11)+Settings!$A$41:$A$64+ABS(MAX(Settings!$B$17,Settings!E$11)-Settings!$A$41:$A$64))/2))+ABS((((MIN(Settings!$C$17,Settings!E$12)+(Settings!$A$41:$A$64+1)-ABS(MIN(Settings!$C$17,Settings!E$12)-(Settings!$A$41:$A$64+1)))/2)-((MAX(Settings!$B$17,Settings!E$11)+Settings!$A$41:$A$64+ABS(MAX(Settings!$B$17,Settings!E$11)-Settings!$A$41:$A$64))/2))))/2),Settings!E$41:E$64)</f>
        <v>9.18</v>
      </c>
      <c r="F7" s="85" t="n">
        <f aca="false">SUMPRODUCT((((((MIN(Settings!$C$17,Settings!F$12)+(Settings!$A$41:$A$64+1)-ABS(MIN(Settings!$C$17,Settings!F$12)-(Settings!$A$41:$A$64+1)))/2)-((MAX(Settings!$B$17,Settings!F$11)+Settings!$A$41:$A$64+ABS(MAX(Settings!$B$17,Settings!F$11)-Settings!$A$41:$A$64))/2))+ABS((((MIN(Settings!$C$17,Settings!F$12)+(Settings!$A$41:$A$64+1)-ABS(MIN(Settings!$C$17,Settings!F$12)-(Settings!$A$41:$A$64+1)))/2)-((MAX(Settings!$B$17,Settings!F$11)+Settings!$A$41:$A$64+ABS(MAX(Settings!$B$17,Settings!F$11)-Settings!$A$41:$A$64))/2))))/2),Settings!F$41:F$64)</f>
        <v>9.1</v>
      </c>
      <c r="G7" s="85" t="n">
        <f aca="false">SUMPRODUCT((((((MIN(Settings!$C$17,Settings!G$12)+(Settings!$A$41:$A$64+1)-ABS(MIN(Settings!$C$17,Settings!G$12)-(Settings!$A$41:$A$64+1)))/2)-((MAX(Settings!$B$17,Settings!G$11)+Settings!$A$41:$A$64+ABS(MAX(Settings!$B$17,Settings!G$11)-Settings!$A$41:$A$64))/2))+ABS((((MIN(Settings!$C$17,Settings!G$12)+(Settings!$A$41:$A$64+1)-ABS(MIN(Settings!$C$17,Settings!G$12)-(Settings!$A$41:$A$64+1)))/2)-((MAX(Settings!$B$17,Settings!G$11)+Settings!$A$41:$A$64+ABS(MAX(Settings!$B$17,Settings!G$11)-Settings!$A$41:$A$64))/2))))/2),Settings!G$41:G$64)</f>
        <v>8.97</v>
      </c>
      <c r="H7" s="85" t="n">
        <f aca="false">SUMPRODUCT((((((MIN(Settings!$C$17,Settings!H$12)+(Settings!$A$41:$A$64+1)-ABS(MIN(Settings!$C$17,Settings!H$12)-(Settings!$A$41:$A$64+1)))/2)-((MAX(Settings!$B$17,Settings!H$11)+Settings!$A$41:$A$64+ABS(MAX(Settings!$B$17,Settings!H$11)-Settings!$A$41:$A$64))/2))+ABS((((MIN(Settings!$C$17,Settings!H$12)+(Settings!$A$41:$A$64+1)-ABS(MIN(Settings!$C$17,Settings!H$12)-(Settings!$A$41:$A$64+1)))/2)-((MAX(Settings!$B$17,Settings!H$11)+Settings!$A$41:$A$64+ABS(MAX(Settings!$B$17,Settings!H$11)-Settings!$A$41:$A$64))/2))))/2),Settings!H$41:H$64)</f>
        <v>9.32</v>
      </c>
    </row>
    <row r="8" customFormat="false" ht="15" hidden="false" customHeight="true" outlineLevel="0" collapsed="false">
      <c r="A8" s="84" t="str">
        <f aca="false">Settings!$A$18</f>
        <v>10:00-14:30</v>
      </c>
      <c r="B8" s="85" t="n">
        <f aca="false">SUMPRODUCT((((((MIN(Settings!$C$18,Settings!B$12)+(Settings!$A$41:$A$64+1)-ABS(MIN(Settings!$C$18,Settings!B$12)-(Settings!$A$41:$A$64+1)))/2)-((MAX(Settings!$B$18,Settings!B$11)+Settings!$A$41:$A$64+ABS(MAX(Settings!$B$18,Settings!B$11)-Settings!$A$41:$A$64))/2))+ABS((((MIN(Settings!$C$18,Settings!B$12)+(Settings!$A$41:$A$64+1)-ABS(MIN(Settings!$C$18,Settings!B$12)-(Settings!$A$41:$A$64+1)))/2)-((MAX(Settings!$B$18,Settings!B$11)+Settings!$A$41:$A$64+ABS(MAX(Settings!$B$18,Settings!B$11)-Settings!$A$41:$A$64))/2))))/2),Settings!B$41:B$64)</f>
        <v>3</v>
      </c>
      <c r="C8" s="85" t="n">
        <f aca="false">SUMPRODUCT((((((MIN(Settings!$C$18,Settings!C$12)+(Settings!$A$41:$A$64+1)-ABS(MIN(Settings!$C$18,Settings!C$12)-(Settings!$A$41:$A$64+1)))/2)-((MAX(Settings!$B$18,Settings!C$11)+Settings!$A$41:$A$64+ABS(MAX(Settings!$B$18,Settings!C$11)-Settings!$A$41:$A$64))/2))+ABS((((MIN(Settings!$C$18,Settings!C$12)+(Settings!$A$41:$A$64+1)-ABS(MIN(Settings!$C$18,Settings!C$12)-(Settings!$A$41:$A$64+1)))/2)-((MAX(Settings!$B$18,Settings!C$11)+Settings!$A$41:$A$64+ABS(MAX(Settings!$B$18,Settings!C$11)-Settings!$A$41:$A$64))/2))))/2),Settings!C$41:C$64)</f>
        <v>4.715</v>
      </c>
      <c r="D8" s="85" t="n">
        <f aca="false">SUMPRODUCT((((((MIN(Settings!$C$18,Settings!D$12)+(Settings!$A$41:$A$64+1)-ABS(MIN(Settings!$C$18,Settings!D$12)-(Settings!$A$41:$A$64+1)))/2)-((MAX(Settings!$B$18,Settings!D$11)+Settings!$A$41:$A$64+ABS(MAX(Settings!$B$18,Settings!D$11)-Settings!$A$41:$A$64))/2))+ABS((((MIN(Settings!$C$18,Settings!D$12)+(Settings!$A$41:$A$64+1)-ABS(MIN(Settings!$C$18,Settings!D$12)-(Settings!$A$41:$A$64+1)))/2)-((MAX(Settings!$B$18,Settings!D$11)+Settings!$A$41:$A$64+ABS(MAX(Settings!$B$18,Settings!D$11)-Settings!$A$41:$A$64))/2))))/2),Settings!D$41:D$64)</f>
        <v>4.715</v>
      </c>
      <c r="E8" s="85" t="n">
        <f aca="false">SUMPRODUCT((((((MIN(Settings!$C$18,Settings!E$12)+(Settings!$A$41:$A$64+1)-ABS(MIN(Settings!$C$18,Settings!E$12)-(Settings!$A$41:$A$64+1)))/2)-((MAX(Settings!$B$18,Settings!E$11)+Settings!$A$41:$A$64+ABS(MAX(Settings!$B$18,Settings!E$11)-Settings!$A$41:$A$64))/2))+ABS((((MIN(Settings!$C$18,Settings!E$12)+(Settings!$A$41:$A$64+1)-ABS(MIN(Settings!$C$18,Settings!E$12)-(Settings!$A$41:$A$64+1)))/2)-((MAX(Settings!$B$18,Settings!E$11)+Settings!$A$41:$A$64+ABS(MAX(Settings!$B$18,Settings!E$11)-Settings!$A$41:$A$64))/2))))/2),Settings!E$41:E$64)</f>
        <v>4.715</v>
      </c>
      <c r="F8" s="85" t="n">
        <f aca="false">SUMPRODUCT((((((MIN(Settings!$C$18,Settings!F$12)+(Settings!$A$41:$A$64+1)-ABS(MIN(Settings!$C$18,Settings!F$12)-(Settings!$A$41:$A$64+1)))/2)-((MAX(Settings!$B$18,Settings!F$11)+Settings!$A$41:$A$64+ABS(MAX(Settings!$B$18,Settings!F$11)-Settings!$A$41:$A$64))/2))+ABS((((MIN(Settings!$C$18,Settings!F$12)+(Settings!$A$41:$A$64+1)-ABS(MIN(Settings!$C$18,Settings!F$12)-(Settings!$A$41:$A$64+1)))/2)-((MAX(Settings!$B$18,Settings!F$11)+Settings!$A$41:$A$64+ABS(MAX(Settings!$B$18,Settings!F$11)-Settings!$A$41:$A$64))/2))))/2),Settings!F$41:F$64)</f>
        <v>4.5</v>
      </c>
      <c r="G8" s="85" t="n">
        <f aca="false">SUMPRODUCT((((((MIN(Settings!$C$18,Settings!G$12)+(Settings!$A$41:$A$64+1)-ABS(MIN(Settings!$C$18,Settings!G$12)-(Settings!$A$41:$A$64+1)))/2)-((MAX(Settings!$B$18,Settings!G$11)+Settings!$A$41:$A$64+ABS(MAX(Settings!$B$18,Settings!G$11)-Settings!$A$41:$A$64))/2))+ABS((((MIN(Settings!$C$18,Settings!G$12)+(Settings!$A$41:$A$64+1)-ABS(MIN(Settings!$C$18,Settings!G$12)-(Settings!$A$41:$A$64+1)))/2)-((MAX(Settings!$B$18,Settings!G$11)+Settings!$A$41:$A$64+ABS(MAX(Settings!$B$18,Settings!G$11)-Settings!$A$41:$A$64))/2))))/2),Settings!G$41:G$64)</f>
        <v>4.18</v>
      </c>
      <c r="H8" s="85" t="n">
        <f aca="false">SUMPRODUCT((((((MIN(Settings!$C$18,Settings!H$12)+(Settings!$A$41:$A$64+1)-ABS(MIN(Settings!$C$18,Settings!H$12)-(Settings!$A$41:$A$64+1)))/2)-((MAX(Settings!$B$18,Settings!H$11)+Settings!$A$41:$A$64+ABS(MAX(Settings!$B$18,Settings!H$11)-Settings!$A$41:$A$64))/2))+ABS((((MIN(Settings!$C$18,Settings!H$12)+(Settings!$A$41:$A$64+1)-ABS(MIN(Settings!$C$18,Settings!H$12)-(Settings!$A$41:$A$64+1)))/2)-((MAX(Settings!$B$18,Settings!H$11)+Settings!$A$41:$A$64+ABS(MAX(Settings!$B$18,Settings!H$11)-Settings!$A$41:$A$64))/2))))/2),Settings!H$41:H$64)</f>
        <v>5.01</v>
      </c>
    </row>
    <row r="9" customFormat="false" ht="15" hidden="false" customHeight="true" outlineLevel="0" collapsed="false">
      <c r="A9" s="84" t="str">
        <f aca="false">Settings!$A$19</f>
        <v>10:00-17:00</v>
      </c>
      <c r="B9" s="85" t="n">
        <f aca="false">SUMPRODUCT((((((MIN(Settings!$C$19,Settings!B$12)+(Settings!$A$41:$A$64+1)-ABS(MIN(Settings!$C$19,Settings!B$12)-(Settings!$A$41:$A$64+1)))/2)-((MAX(Settings!$B$19,Settings!B$11)+Settings!$A$41:$A$64+ABS(MAX(Settings!$B$19,Settings!B$11)-Settings!$A$41:$A$64))/2))+ABS((((MIN(Settings!$C$19,Settings!B$12)+(Settings!$A$41:$A$64+1)-ABS(MIN(Settings!$C$19,Settings!B$12)-(Settings!$A$41:$A$64+1)))/2)-((MAX(Settings!$B$19,Settings!B$11)+Settings!$A$41:$A$64+ABS(MAX(Settings!$B$19,Settings!B$11)-Settings!$A$41:$A$64))/2))))/2),Settings!B$41:B$64)</f>
        <v>5.32</v>
      </c>
      <c r="C9" s="85" t="n">
        <f aca="false">SUMPRODUCT((((((MIN(Settings!$C$19,Settings!C$12)+(Settings!$A$41:$A$64+1)-ABS(MIN(Settings!$C$19,Settings!C$12)-(Settings!$A$41:$A$64+1)))/2)-((MAX(Settings!$B$19,Settings!C$11)+Settings!$A$41:$A$64+ABS(MAX(Settings!$B$19,Settings!C$11)-Settings!$A$41:$A$64))/2))+ABS((((MIN(Settings!$C$19,Settings!C$12)+(Settings!$A$41:$A$64+1)-ABS(MIN(Settings!$C$19,Settings!C$12)-(Settings!$A$41:$A$64+1)))/2)-((MAX(Settings!$B$19,Settings!C$11)+Settings!$A$41:$A$64+ABS(MAX(Settings!$B$19,Settings!C$11)-Settings!$A$41:$A$64))/2))))/2),Settings!C$41:C$64)</f>
        <v>7.04</v>
      </c>
      <c r="D9" s="85" t="n">
        <f aca="false">SUMPRODUCT((((((MIN(Settings!$C$19,Settings!D$12)+(Settings!$A$41:$A$64+1)-ABS(MIN(Settings!$C$19,Settings!D$12)-(Settings!$A$41:$A$64+1)))/2)-((MAX(Settings!$B$19,Settings!D$11)+Settings!$A$41:$A$64+ABS(MAX(Settings!$B$19,Settings!D$11)-Settings!$A$41:$A$64))/2))+ABS((((MIN(Settings!$C$19,Settings!D$12)+(Settings!$A$41:$A$64+1)-ABS(MIN(Settings!$C$19,Settings!D$12)-(Settings!$A$41:$A$64+1)))/2)-((MAX(Settings!$B$19,Settings!D$11)+Settings!$A$41:$A$64+ABS(MAX(Settings!$B$19,Settings!D$11)-Settings!$A$41:$A$64))/2))))/2),Settings!D$41:D$64)</f>
        <v>7.04</v>
      </c>
      <c r="E9" s="85" t="n">
        <f aca="false">SUMPRODUCT((((((MIN(Settings!$C$19,Settings!E$12)+(Settings!$A$41:$A$64+1)-ABS(MIN(Settings!$C$19,Settings!E$12)-(Settings!$A$41:$A$64+1)))/2)-((MAX(Settings!$B$19,Settings!E$11)+Settings!$A$41:$A$64+ABS(MAX(Settings!$B$19,Settings!E$11)-Settings!$A$41:$A$64))/2))+ABS((((MIN(Settings!$C$19,Settings!E$12)+(Settings!$A$41:$A$64+1)-ABS(MIN(Settings!$C$19,Settings!E$12)-(Settings!$A$41:$A$64+1)))/2)-((MAX(Settings!$B$19,Settings!E$11)+Settings!$A$41:$A$64+ABS(MAX(Settings!$B$19,Settings!E$11)-Settings!$A$41:$A$64))/2))))/2),Settings!E$41:E$64)</f>
        <v>7.04</v>
      </c>
      <c r="F9" s="85" t="n">
        <f aca="false">SUMPRODUCT((((((MIN(Settings!$C$19,Settings!F$12)+(Settings!$A$41:$A$64+1)-ABS(MIN(Settings!$C$19,Settings!F$12)-(Settings!$A$41:$A$64+1)))/2)-((MAX(Settings!$B$19,Settings!F$11)+Settings!$A$41:$A$64+ABS(MAX(Settings!$B$19,Settings!F$11)-Settings!$A$41:$A$64))/2))+ABS((((MIN(Settings!$C$19,Settings!F$12)+(Settings!$A$41:$A$64+1)-ABS(MIN(Settings!$C$19,Settings!F$12)-(Settings!$A$41:$A$64+1)))/2)-((MAX(Settings!$B$19,Settings!F$11)+Settings!$A$41:$A$64+ABS(MAX(Settings!$B$19,Settings!F$11)-Settings!$A$41:$A$64))/2))))/2),Settings!F$41:F$64)</f>
        <v>6.84</v>
      </c>
      <c r="G9" s="85" t="n">
        <f aca="false">SUMPRODUCT((((((MIN(Settings!$C$19,Settings!G$12)+(Settings!$A$41:$A$64+1)-ABS(MIN(Settings!$C$19,Settings!G$12)-(Settings!$A$41:$A$64+1)))/2)-((MAX(Settings!$B$19,Settings!G$11)+Settings!$A$41:$A$64+ABS(MAX(Settings!$B$19,Settings!G$11)-Settings!$A$41:$A$64))/2))+ABS((((MIN(Settings!$C$19,Settings!G$12)+(Settings!$A$41:$A$64+1)-ABS(MIN(Settings!$C$19,Settings!G$12)-(Settings!$A$41:$A$64+1)))/2)-((MAX(Settings!$B$19,Settings!G$11)+Settings!$A$41:$A$64+ABS(MAX(Settings!$B$19,Settings!G$11)-Settings!$A$41:$A$64))/2))))/2),Settings!G$41:G$64)</f>
        <v>6.53</v>
      </c>
      <c r="H9" s="85" t="n">
        <f aca="false">SUMPRODUCT((((((MIN(Settings!$C$19,Settings!H$12)+(Settings!$A$41:$A$64+1)-ABS(MIN(Settings!$C$19,Settings!H$12)-(Settings!$A$41:$A$64+1)))/2)-((MAX(Settings!$B$19,Settings!H$11)+Settings!$A$41:$A$64+ABS(MAX(Settings!$B$19,Settings!H$11)-Settings!$A$41:$A$64))/2))+ABS((((MIN(Settings!$C$19,Settings!H$12)+(Settings!$A$41:$A$64+1)-ABS(MIN(Settings!$C$19,Settings!H$12)-(Settings!$A$41:$A$64+1)))/2)-((MAX(Settings!$B$19,Settings!H$11)+Settings!$A$41:$A$64+ABS(MAX(Settings!$B$19,Settings!H$11)-Settings!$A$41:$A$64))/2))))/2),Settings!H$41:H$64)</f>
        <v>7.56</v>
      </c>
    </row>
    <row r="10" customFormat="false" ht="15" hidden="false" customHeight="true" outlineLevel="0" collapsed="false">
      <c r="A10" s="84" t="str">
        <f aca="false">Settings!$A$20</f>
        <v>12:30-19:00</v>
      </c>
      <c r="B10" s="85" t="n">
        <f aca="false">SUMPRODUCT((((((MIN(Settings!$C$20,Settings!B$12)+(Settings!$A$41:$A$64+1)-ABS(MIN(Settings!$C$20,Settings!B$12)-(Settings!$A$41:$A$64+1)))/2)-((MAX(Settings!$B$20,Settings!B$11)+Settings!$A$41:$A$64+ABS(MAX(Settings!$B$20,Settings!B$11)-Settings!$A$41:$A$64))/2))+ABS((((MIN(Settings!$C$20,Settings!B$12)+(Settings!$A$41:$A$64+1)-ABS(MIN(Settings!$C$20,Settings!B$12)-(Settings!$A$41:$A$64+1)))/2)-((MAX(Settings!$B$20,Settings!B$11)+Settings!$A$41:$A$64+ABS(MAX(Settings!$B$20,Settings!B$11)-Settings!$A$41:$A$64))/2))))/2),Settings!B$41:B$64)</f>
        <v>5.37</v>
      </c>
      <c r="C10" s="85" t="n">
        <f aca="false">SUMPRODUCT((((((MIN(Settings!$C$20,Settings!C$12)+(Settings!$A$41:$A$64+1)-ABS(MIN(Settings!$C$20,Settings!C$12)-(Settings!$A$41:$A$64+1)))/2)-((MAX(Settings!$B$20,Settings!C$11)+Settings!$A$41:$A$64+ABS(MAX(Settings!$B$20,Settings!C$11)-Settings!$A$41:$A$64))/2))+ABS((((MIN(Settings!$C$20,Settings!C$12)+(Settings!$A$41:$A$64+1)-ABS(MIN(Settings!$C$20,Settings!C$12)-(Settings!$A$41:$A$64+1)))/2)-((MAX(Settings!$B$20,Settings!C$11)+Settings!$A$41:$A$64+ABS(MAX(Settings!$B$20,Settings!C$11)-Settings!$A$41:$A$64))/2))))/2),Settings!C$41:C$64)</f>
        <v>6.845</v>
      </c>
      <c r="D10" s="85" t="n">
        <f aca="false">SUMPRODUCT((((((MIN(Settings!$C$20,Settings!D$12)+(Settings!$A$41:$A$64+1)-ABS(MIN(Settings!$C$20,Settings!D$12)-(Settings!$A$41:$A$64+1)))/2)-((MAX(Settings!$B$20,Settings!D$11)+Settings!$A$41:$A$64+ABS(MAX(Settings!$B$20,Settings!D$11)-Settings!$A$41:$A$64))/2))+ABS((((MIN(Settings!$C$20,Settings!D$12)+(Settings!$A$41:$A$64+1)-ABS(MIN(Settings!$C$20,Settings!D$12)-(Settings!$A$41:$A$64+1)))/2)-((MAX(Settings!$B$20,Settings!D$11)+Settings!$A$41:$A$64+ABS(MAX(Settings!$B$20,Settings!D$11)-Settings!$A$41:$A$64))/2))))/2),Settings!D$41:D$64)</f>
        <v>6.845</v>
      </c>
      <c r="E10" s="85" t="n">
        <f aca="false">SUMPRODUCT((((((MIN(Settings!$C$20,Settings!E$12)+(Settings!$A$41:$A$64+1)-ABS(MIN(Settings!$C$20,Settings!E$12)-(Settings!$A$41:$A$64+1)))/2)-((MAX(Settings!$B$20,Settings!E$11)+Settings!$A$41:$A$64+ABS(MAX(Settings!$B$20,Settings!E$11)-Settings!$A$41:$A$64))/2))+ABS((((MIN(Settings!$C$20,Settings!E$12)+(Settings!$A$41:$A$64+1)-ABS(MIN(Settings!$C$20,Settings!E$12)-(Settings!$A$41:$A$64+1)))/2)-((MAX(Settings!$B$20,Settings!E$11)+Settings!$A$41:$A$64+ABS(MAX(Settings!$B$20,Settings!E$11)-Settings!$A$41:$A$64))/2))))/2),Settings!E$41:E$64)</f>
        <v>6.845</v>
      </c>
      <c r="F10" s="85" t="n">
        <f aca="false">SUMPRODUCT((((((MIN(Settings!$C$20,Settings!F$12)+(Settings!$A$41:$A$64+1)-ABS(MIN(Settings!$C$20,Settings!F$12)-(Settings!$A$41:$A$64+1)))/2)-((MAX(Settings!$B$20,Settings!F$11)+Settings!$A$41:$A$64+ABS(MAX(Settings!$B$20,Settings!F$11)-Settings!$A$41:$A$64))/2))+ABS((((MIN(Settings!$C$20,Settings!F$12)+(Settings!$A$41:$A$64+1)-ABS(MIN(Settings!$C$20,Settings!F$12)-(Settings!$A$41:$A$64+1)))/2)-((MAX(Settings!$B$20,Settings!F$11)+Settings!$A$41:$A$64+ABS(MAX(Settings!$B$20,Settings!F$11)-Settings!$A$41:$A$64))/2))))/2),Settings!F$41:F$64)</f>
        <v>6.855</v>
      </c>
      <c r="G10" s="85" t="n">
        <f aca="false">SUMPRODUCT((((((MIN(Settings!$C$20,Settings!G$12)+(Settings!$A$41:$A$64+1)-ABS(MIN(Settings!$C$20,Settings!G$12)-(Settings!$A$41:$A$64+1)))/2)-((MAX(Settings!$B$20,Settings!G$11)+Settings!$A$41:$A$64+ABS(MAX(Settings!$B$20,Settings!G$11)-Settings!$A$41:$A$64))/2))+ABS((((MIN(Settings!$C$20,Settings!G$12)+(Settings!$A$41:$A$64+1)-ABS(MIN(Settings!$C$20,Settings!G$12)-(Settings!$A$41:$A$64+1)))/2)-((MAX(Settings!$B$20,Settings!G$11)+Settings!$A$41:$A$64+ABS(MAX(Settings!$B$20,Settings!G$11)-Settings!$A$41:$A$64))/2))))/2),Settings!G$41:G$64)</f>
        <v>6.855</v>
      </c>
      <c r="H10" s="85" t="n">
        <f aca="false">SUMPRODUCT((((((MIN(Settings!$C$20,Settings!H$12)+(Settings!$A$41:$A$64+1)-ABS(MIN(Settings!$C$20,Settings!H$12)-(Settings!$A$41:$A$64+1)))/2)-((MAX(Settings!$B$20,Settings!H$11)+Settings!$A$41:$A$64+ABS(MAX(Settings!$B$20,Settings!H$11)-Settings!$A$41:$A$64))/2))+ABS((((MIN(Settings!$C$20,Settings!H$12)+(Settings!$A$41:$A$64+1)-ABS(MIN(Settings!$C$20,Settings!H$12)-(Settings!$A$41:$A$64+1)))/2)-((MAX(Settings!$B$20,Settings!H$11)+Settings!$A$41:$A$64+ABS(MAX(Settings!$B$20,Settings!H$11)-Settings!$A$41:$A$64))/2))))/2),Settings!H$41:H$64)</f>
        <v>6.57</v>
      </c>
    </row>
    <row r="11" customFormat="false" ht="15" hidden="false" customHeight="true" outlineLevel="0" collapsed="false">
      <c r="A11" s="84" t="str">
        <f aca="false">Settings!$A$21</f>
        <v>11:30-20:30</v>
      </c>
      <c r="B11" s="85" t="n">
        <f aca="false">SUMPRODUCT((((((MIN(Settings!$C$21,Settings!B$12)+(Settings!$A$41:$A$64+1)-ABS(MIN(Settings!$C$21,Settings!B$12)-(Settings!$A$41:$A$64+1)))/2)-((MAX(Settings!$B$21,Settings!B$11)+Settings!$A$41:$A$64+ABS(MAX(Settings!$B$21,Settings!B$11)-Settings!$A$41:$A$64))/2))+ABS((((MIN(Settings!$C$21,Settings!B$12)+(Settings!$A$41:$A$64+1)-ABS(MIN(Settings!$C$21,Settings!B$12)-(Settings!$A$41:$A$64+1)))/2)-((MAX(Settings!$B$21,Settings!B$11)+Settings!$A$41:$A$64+ABS(MAX(Settings!$B$21,Settings!B$11)-Settings!$A$41:$A$64))/2))))/2),Settings!B$41:B$64)</f>
        <v>6</v>
      </c>
      <c r="C11" s="85" t="n">
        <f aca="false">SUMPRODUCT((((((MIN(Settings!$C$21,Settings!C$12)+(Settings!$A$41:$A$64+1)-ABS(MIN(Settings!$C$21,Settings!C$12)-(Settings!$A$41:$A$64+1)))/2)-((MAX(Settings!$B$21,Settings!C$11)+Settings!$A$41:$A$64+ABS(MAX(Settings!$B$21,Settings!C$11)-Settings!$A$41:$A$64))/2))+ABS((((MIN(Settings!$C$21,Settings!C$12)+(Settings!$A$41:$A$64+1)-ABS(MIN(Settings!$C$21,Settings!C$12)-(Settings!$A$41:$A$64+1)))/2)-((MAX(Settings!$B$21,Settings!C$11)+Settings!$A$41:$A$64+ABS(MAX(Settings!$B$21,Settings!C$11)-Settings!$A$41:$A$64))/2))))/2),Settings!C$41:C$64)</f>
        <v>8.72</v>
      </c>
      <c r="D11" s="85" t="n">
        <f aca="false">SUMPRODUCT((((((MIN(Settings!$C$21,Settings!D$12)+(Settings!$A$41:$A$64+1)-ABS(MIN(Settings!$C$21,Settings!D$12)-(Settings!$A$41:$A$64+1)))/2)-((MAX(Settings!$B$21,Settings!D$11)+Settings!$A$41:$A$64+ABS(MAX(Settings!$B$21,Settings!D$11)-Settings!$A$41:$A$64))/2))+ABS((((MIN(Settings!$C$21,Settings!D$12)+(Settings!$A$41:$A$64+1)-ABS(MIN(Settings!$C$21,Settings!D$12)-(Settings!$A$41:$A$64+1)))/2)-((MAX(Settings!$B$21,Settings!D$11)+Settings!$A$41:$A$64+ABS(MAX(Settings!$B$21,Settings!D$11)-Settings!$A$41:$A$64))/2))))/2),Settings!D$41:D$64)</f>
        <v>8.72</v>
      </c>
      <c r="E11" s="85" t="n">
        <f aca="false">SUMPRODUCT((((((MIN(Settings!$C$21,Settings!E$12)+(Settings!$A$41:$A$64+1)-ABS(MIN(Settings!$C$21,Settings!E$12)-(Settings!$A$41:$A$64+1)))/2)-((MAX(Settings!$B$21,Settings!E$11)+Settings!$A$41:$A$64+ABS(MAX(Settings!$B$21,Settings!E$11)-Settings!$A$41:$A$64))/2))+ABS((((MIN(Settings!$C$21,Settings!E$12)+(Settings!$A$41:$A$64+1)-ABS(MIN(Settings!$C$21,Settings!E$12)-(Settings!$A$41:$A$64+1)))/2)-((MAX(Settings!$B$21,Settings!E$11)+Settings!$A$41:$A$64+ABS(MAX(Settings!$B$21,Settings!E$11)-Settings!$A$41:$A$64))/2))))/2),Settings!E$41:E$64)</f>
        <v>8.72</v>
      </c>
      <c r="F11" s="85" t="n">
        <f aca="false">SUMPRODUCT((((((MIN(Settings!$C$21,Settings!F$12)+(Settings!$A$41:$A$64+1)-ABS(MIN(Settings!$C$21,Settings!F$12)-(Settings!$A$41:$A$64+1)))/2)-((MAX(Settings!$B$21,Settings!F$11)+Settings!$A$41:$A$64+ABS(MAX(Settings!$B$21,Settings!F$11)-Settings!$A$41:$A$64))/2))+ABS((((MIN(Settings!$C$21,Settings!F$12)+(Settings!$A$41:$A$64+1)-ABS(MIN(Settings!$C$21,Settings!F$12)-(Settings!$A$41:$A$64+1)))/2)-((MAX(Settings!$B$21,Settings!F$11)+Settings!$A$41:$A$64+ABS(MAX(Settings!$B$21,Settings!F$11)-Settings!$A$41:$A$64))/2))))/2),Settings!F$41:F$64)</f>
        <v>8.765</v>
      </c>
      <c r="G11" s="85" t="n">
        <f aca="false">SUMPRODUCT((((((MIN(Settings!$C$21,Settings!G$12)+(Settings!$A$41:$A$64+1)-ABS(MIN(Settings!$C$21,Settings!G$12)-(Settings!$A$41:$A$64+1)))/2)-((MAX(Settings!$B$21,Settings!G$11)+Settings!$A$41:$A$64+ABS(MAX(Settings!$B$21,Settings!G$11)-Settings!$A$41:$A$64))/2))+ABS((((MIN(Settings!$C$21,Settings!G$12)+(Settings!$A$41:$A$64+1)-ABS(MIN(Settings!$C$21,Settings!G$12)-(Settings!$A$41:$A$64+1)))/2)-((MAX(Settings!$B$21,Settings!G$11)+Settings!$A$41:$A$64+ABS(MAX(Settings!$B$21,Settings!G$11)-Settings!$A$41:$A$64))/2))))/2),Settings!G$41:G$64)</f>
        <v>8.825</v>
      </c>
      <c r="H11" s="85" t="n">
        <f aca="false">SUMPRODUCT((((((MIN(Settings!$C$21,Settings!H$12)+(Settings!$A$41:$A$64+1)-ABS(MIN(Settings!$C$21,Settings!H$12)-(Settings!$A$41:$A$64+1)))/2)-((MAX(Settings!$B$21,Settings!H$11)+Settings!$A$41:$A$64+ABS(MAX(Settings!$B$21,Settings!H$11)-Settings!$A$41:$A$64))/2))+ABS((((MIN(Settings!$C$21,Settings!H$12)+(Settings!$A$41:$A$64+1)-ABS(MIN(Settings!$C$21,Settings!H$12)-(Settings!$A$41:$A$64+1)))/2)-((MAX(Settings!$B$21,Settings!H$11)+Settings!$A$41:$A$64+ABS(MAX(Settings!$B$21,Settings!H$11)-Settings!$A$41:$A$64))/2))))/2),Settings!H$41:H$64)</f>
        <v>8.415</v>
      </c>
    </row>
    <row r="12" customFormat="false" ht="15" hidden="false" customHeight="true" outlineLevel="0" collapsed="false">
      <c r="A12" s="84" t="str">
        <f aca="false">Settings!$A$22</f>
        <v>13:30-20:30</v>
      </c>
      <c r="B12" s="85" t="n">
        <f aca="false">SUMPRODUCT((((((MIN(Settings!$C$22,Settings!B$12)+(Settings!$A$41:$A$64+1)-ABS(MIN(Settings!$C$22,Settings!B$12)-(Settings!$A$41:$A$64+1)))/2)-((MAX(Settings!$B$22,Settings!B$11)+Settings!$A$41:$A$64+ABS(MAX(Settings!$B$22,Settings!B$11)-Settings!$A$41:$A$64))/2))+ABS((((MIN(Settings!$C$22,Settings!B$12)+(Settings!$A$41:$A$64+1)-ABS(MIN(Settings!$C$22,Settings!B$12)-(Settings!$A$41:$A$64+1)))/2)-((MAX(Settings!$B$22,Settings!B$11)+Settings!$A$41:$A$64+ABS(MAX(Settings!$B$22,Settings!B$11)-Settings!$A$41:$A$64))/2))))/2),Settings!B$41:B$64)</f>
        <v>4.135</v>
      </c>
      <c r="C12" s="85" t="n">
        <f aca="false">SUMPRODUCT((((((MIN(Settings!$C$22,Settings!C$12)+(Settings!$A$41:$A$64+1)-ABS(MIN(Settings!$C$22,Settings!C$12)-(Settings!$A$41:$A$64+1)))/2)-((MAX(Settings!$B$22,Settings!C$11)+Settings!$A$41:$A$64+ABS(MAX(Settings!$B$22,Settings!C$11)-Settings!$A$41:$A$64))/2))+ABS((((MIN(Settings!$C$22,Settings!C$12)+(Settings!$A$41:$A$64+1)-ABS(MIN(Settings!$C$22,Settings!C$12)-(Settings!$A$41:$A$64+1)))/2)-((MAX(Settings!$B$22,Settings!C$11)+Settings!$A$41:$A$64+ABS(MAX(Settings!$B$22,Settings!C$11)-Settings!$A$41:$A$64))/2))))/2),Settings!C$41:C$64)</f>
        <v>6.46</v>
      </c>
      <c r="D12" s="85" t="n">
        <f aca="false">SUMPRODUCT((((((MIN(Settings!$C$22,Settings!D$12)+(Settings!$A$41:$A$64+1)-ABS(MIN(Settings!$C$22,Settings!D$12)-(Settings!$A$41:$A$64+1)))/2)-((MAX(Settings!$B$22,Settings!D$11)+Settings!$A$41:$A$64+ABS(MAX(Settings!$B$22,Settings!D$11)-Settings!$A$41:$A$64))/2))+ABS((((MIN(Settings!$C$22,Settings!D$12)+(Settings!$A$41:$A$64+1)-ABS(MIN(Settings!$C$22,Settings!D$12)-(Settings!$A$41:$A$64+1)))/2)-((MAX(Settings!$B$22,Settings!D$11)+Settings!$A$41:$A$64+ABS(MAX(Settings!$B$22,Settings!D$11)-Settings!$A$41:$A$64))/2))))/2),Settings!D$41:D$64)</f>
        <v>6.46</v>
      </c>
      <c r="E12" s="85" t="n">
        <f aca="false">SUMPRODUCT((((((MIN(Settings!$C$22,Settings!E$12)+(Settings!$A$41:$A$64+1)-ABS(MIN(Settings!$C$22,Settings!E$12)-(Settings!$A$41:$A$64+1)))/2)-((MAX(Settings!$B$22,Settings!E$11)+Settings!$A$41:$A$64+ABS(MAX(Settings!$B$22,Settings!E$11)-Settings!$A$41:$A$64))/2))+ABS((((MIN(Settings!$C$22,Settings!E$12)+(Settings!$A$41:$A$64+1)-ABS(MIN(Settings!$C$22,Settings!E$12)-(Settings!$A$41:$A$64+1)))/2)-((MAX(Settings!$B$22,Settings!E$11)+Settings!$A$41:$A$64+ABS(MAX(Settings!$B$22,Settings!E$11)-Settings!$A$41:$A$64))/2))))/2),Settings!E$41:E$64)</f>
        <v>6.46</v>
      </c>
      <c r="F12" s="85" t="n">
        <f aca="false">SUMPRODUCT((((((MIN(Settings!$C$22,Settings!F$12)+(Settings!$A$41:$A$64+1)-ABS(MIN(Settings!$C$22,Settings!F$12)-(Settings!$A$41:$A$64+1)))/2)-((MAX(Settings!$B$22,Settings!F$11)+Settings!$A$41:$A$64+ABS(MAX(Settings!$B$22,Settings!F$11)-Settings!$A$41:$A$64))/2))+ABS((((MIN(Settings!$C$22,Settings!F$12)+(Settings!$A$41:$A$64+1)-ABS(MIN(Settings!$C$22,Settings!F$12)-(Settings!$A$41:$A$64+1)))/2)-((MAX(Settings!$B$22,Settings!F$11)+Settings!$A$41:$A$64+ABS(MAX(Settings!$B$22,Settings!F$11)-Settings!$A$41:$A$64))/2))))/2),Settings!F$41:F$64)</f>
        <v>6.615</v>
      </c>
      <c r="G12" s="85" t="n">
        <f aca="false">SUMPRODUCT((((((MIN(Settings!$C$22,Settings!G$12)+(Settings!$A$41:$A$64+1)-ABS(MIN(Settings!$C$22,Settings!G$12)-(Settings!$A$41:$A$64+1)))/2)-((MAX(Settings!$B$22,Settings!G$11)+Settings!$A$41:$A$64+ABS(MAX(Settings!$B$22,Settings!G$11)-Settings!$A$41:$A$64))/2))+ABS((((MIN(Settings!$C$22,Settings!G$12)+(Settings!$A$41:$A$64+1)-ABS(MIN(Settings!$C$22,Settings!G$12)-(Settings!$A$41:$A$64+1)))/2)-((MAX(Settings!$B$22,Settings!G$11)+Settings!$A$41:$A$64+ABS(MAX(Settings!$B$22,Settings!G$11)-Settings!$A$41:$A$64))/2))))/2),Settings!G$41:G$64)</f>
        <v>6.83</v>
      </c>
      <c r="H12" s="85" t="n">
        <f aca="false">SUMPRODUCT((((((MIN(Settings!$C$22,Settings!H$12)+(Settings!$A$41:$A$64+1)-ABS(MIN(Settings!$C$22,Settings!H$12)-(Settings!$A$41:$A$64+1)))/2)-((MAX(Settings!$B$22,Settings!H$11)+Settings!$A$41:$A$64+ABS(MAX(Settings!$B$22,Settings!H$11)-Settings!$A$41:$A$64))/2))+ABS((((MIN(Settings!$C$22,Settings!H$12)+(Settings!$A$41:$A$64+1)-ABS(MIN(Settings!$C$22,Settings!H$12)-(Settings!$A$41:$A$64+1)))/2)-((MAX(Settings!$B$22,Settings!H$11)+Settings!$A$41:$A$64+ABS(MAX(Settings!$B$22,Settings!H$11)-Settings!$A$41:$A$64))/2))))/2),Settings!H$41:H$64)</f>
        <v>6.105</v>
      </c>
    </row>
    <row r="14" customFormat="false" ht="15" hidden="false" customHeight="true" outlineLevel="0" collapsed="false">
      <c r="A14" s="75" t="s">
        <v>88</v>
      </c>
      <c r="B14" s="75"/>
      <c r="C14" s="75"/>
      <c r="D14" s="75"/>
      <c r="E14" s="75"/>
      <c r="F14" s="75"/>
      <c r="G14" s="75"/>
      <c r="H14" s="75"/>
    </row>
    <row r="15" customFormat="false" ht="15" hidden="false" customHeight="true" outlineLevel="0" collapsed="false">
      <c r="A15" s="76" t="s">
        <v>13</v>
      </c>
      <c r="B15" s="76" t="s">
        <v>55</v>
      </c>
      <c r="C15" s="76" t="s">
        <v>56</v>
      </c>
      <c r="D15" s="76" t="s">
        <v>57</v>
      </c>
      <c r="E15" s="76" t="s">
        <v>58</v>
      </c>
      <c r="F15" s="76" t="s">
        <v>59</v>
      </c>
      <c r="G15" s="76" t="s">
        <v>60</v>
      </c>
      <c r="H15" s="76" t="s">
        <v>61</v>
      </c>
    </row>
    <row r="16" customFormat="false" ht="15" hidden="false" customHeight="true" outlineLevel="0" collapsed="false">
      <c r="A16" s="84" t="str">
        <f aca="false">Settings!$A$16</f>
        <v>8:00-17:00</v>
      </c>
      <c r="B16" s="86" t="n">
        <f aca="false">B6*(1-Settings!$F$16)/Settings!$B$33</f>
        <v>0.591111111111111</v>
      </c>
      <c r="C16" s="86" t="n">
        <f aca="false">C6*(1-Settings!$F$16)/Settings!$B$33</f>
        <v>0.782222222222222</v>
      </c>
      <c r="D16" s="86" t="n">
        <f aca="false">D6*(1-Settings!$F$16)/Settings!$B$33</f>
        <v>0.782222222222222</v>
      </c>
      <c r="E16" s="86" t="n">
        <f aca="false">E6*(1-Settings!$F$16)/Settings!$B$33</f>
        <v>0.782222222222222</v>
      </c>
      <c r="F16" s="86" t="n">
        <f aca="false">F6*(1-Settings!$F$16)/Settings!$B$33</f>
        <v>0.76</v>
      </c>
      <c r="G16" s="86" t="n">
        <f aca="false">G6*(1-Settings!$F$16)/Settings!$B$33</f>
        <v>0.725555555555556</v>
      </c>
      <c r="H16" s="86" t="n">
        <f aca="false">H6*(1-Settings!$F$16)/Settings!$B$33</f>
        <v>0.84</v>
      </c>
    </row>
    <row r="17" customFormat="false" ht="15" hidden="false" customHeight="true" outlineLevel="0" collapsed="false">
      <c r="A17" s="84" t="str">
        <f aca="false">Settings!$A$17</f>
        <v>10:00-19:00</v>
      </c>
      <c r="B17" s="86" t="n">
        <f aca="false">B7*(1-Settings!$F$17)/Settings!$B$33</f>
        <v>0.666666666666667</v>
      </c>
      <c r="C17" s="86" t="n">
        <f aca="false">C7*(1-Settings!$F$17)/Settings!$B$33</f>
        <v>1.02</v>
      </c>
      <c r="D17" s="86" t="n">
        <f aca="false">D7*(1-Settings!$F$17)/Settings!$B$33</f>
        <v>1.02</v>
      </c>
      <c r="E17" s="86" t="n">
        <f aca="false">E7*(1-Settings!$F$17)/Settings!$B$33</f>
        <v>1.02</v>
      </c>
      <c r="F17" s="86" t="n">
        <f aca="false">F7*(1-Settings!$F$17)/Settings!$B$33</f>
        <v>1.01111111111111</v>
      </c>
      <c r="G17" s="86" t="n">
        <f aca="false">G7*(1-Settings!$F$17)/Settings!$B$33</f>
        <v>0.996666666666667</v>
      </c>
      <c r="H17" s="86" t="n">
        <f aca="false">H7*(1-Settings!$F$17)/Settings!$B$33</f>
        <v>1.03555555555556</v>
      </c>
    </row>
    <row r="18" customFormat="false" ht="15" hidden="false" customHeight="true" outlineLevel="0" collapsed="false">
      <c r="A18" s="84" t="str">
        <f aca="false">Settings!$A$18</f>
        <v>10:00-14:30</v>
      </c>
      <c r="B18" s="86" t="n">
        <f aca="false">B8*(1-Settings!$F$18)/Settings!$B$33</f>
        <v>0.333333333333333</v>
      </c>
      <c r="C18" s="86" t="n">
        <f aca="false">C8*(1-Settings!$F$18)/Settings!$B$33</f>
        <v>0.523888888888889</v>
      </c>
      <c r="D18" s="86" t="n">
        <f aca="false">D8*(1-Settings!$F$18)/Settings!$B$33</f>
        <v>0.523888888888889</v>
      </c>
      <c r="E18" s="86" t="n">
        <f aca="false">E8*(1-Settings!$F$18)/Settings!$B$33</f>
        <v>0.523888888888889</v>
      </c>
      <c r="F18" s="86" t="n">
        <f aca="false">F8*(1-Settings!$F$18)/Settings!$B$33</f>
        <v>0.5</v>
      </c>
      <c r="G18" s="86" t="n">
        <f aca="false">G8*(1-Settings!$F$18)/Settings!$B$33</f>
        <v>0.464444444444444</v>
      </c>
      <c r="H18" s="86" t="n">
        <f aca="false">H8*(1-Settings!$F$18)/Settings!$B$33</f>
        <v>0.556666666666667</v>
      </c>
    </row>
    <row r="19" customFormat="false" ht="15" hidden="false" customHeight="true" outlineLevel="0" collapsed="false">
      <c r="A19" s="84" t="str">
        <f aca="false">Settings!$A$19</f>
        <v>10:00-17:00</v>
      </c>
      <c r="B19" s="86" t="n">
        <f aca="false">B9*(1-Settings!$F$19)/Settings!$B$33</f>
        <v>0.6175</v>
      </c>
      <c r="C19" s="86" t="n">
        <f aca="false">C9*(1-Settings!$F$19)/Settings!$B$33</f>
        <v>0.817142857142857</v>
      </c>
      <c r="D19" s="86" t="n">
        <f aca="false">D9*(1-Settings!$F$19)/Settings!$B$33</f>
        <v>0.817142857142857</v>
      </c>
      <c r="E19" s="86" t="n">
        <f aca="false">E9*(1-Settings!$F$19)/Settings!$B$33</f>
        <v>0.817142857142857</v>
      </c>
      <c r="F19" s="86" t="n">
        <f aca="false">F9*(1-Settings!$F$19)/Settings!$B$33</f>
        <v>0.793928571428571</v>
      </c>
      <c r="G19" s="86" t="n">
        <f aca="false">G9*(1-Settings!$F$19)/Settings!$B$33</f>
        <v>0.757946428571429</v>
      </c>
      <c r="H19" s="86" t="n">
        <f aca="false">H9*(1-Settings!$F$19)/Settings!$B$33</f>
        <v>0.8775</v>
      </c>
    </row>
    <row r="20" customFormat="false" ht="15" hidden="false" customHeight="true" outlineLevel="0" collapsed="false">
      <c r="A20" s="84" t="str">
        <f aca="false">Settings!$A$20</f>
        <v>12:30-19:00</v>
      </c>
      <c r="B20" s="86" t="n">
        <f aca="false">B10*(1-Settings!$F$20)/Settings!$B$33</f>
        <v>0.619615384615385</v>
      </c>
      <c r="C20" s="86" t="n">
        <f aca="false">C10*(1-Settings!$F$20)/Settings!$B$33</f>
        <v>0.789807692307692</v>
      </c>
      <c r="D20" s="86" t="n">
        <f aca="false">D10*(1-Settings!$F$20)/Settings!$B$33</f>
        <v>0.789807692307692</v>
      </c>
      <c r="E20" s="86" t="n">
        <f aca="false">E10*(1-Settings!$F$20)/Settings!$B$33</f>
        <v>0.789807692307692</v>
      </c>
      <c r="F20" s="86" t="n">
        <f aca="false">F10*(1-Settings!$F$20)/Settings!$B$33</f>
        <v>0.790961538461539</v>
      </c>
      <c r="G20" s="86" t="n">
        <f aca="false">G10*(1-Settings!$F$20)/Settings!$B$33</f>
        <v>0.790961538461539</v>
      </c>
      <c r="H20" s="86" t="n">
        <f aca="false">H10*(1-Settings!$F$20)/Settings!$B$33</f>
        <v>0.758076923076923</v>
      </c>
    </row>
    <row r="21" customFormat="false" ht="15" hidden="false" customHeight="true" outlineLevel="0" collapsed="false">
      <c r="A21" s="84" t="str">
        <f aca="false">Settings!$A$21</f>
        <v>11:30-20:30</v>
      </c>
      <c r="B21" s="86" t="n">
        <f aca="false">B11*(1-Settings!$F$21)/Settings!$B$33</f>
        <v>0.666666666666667</v>
      </c>
      <c r="C21" s="86" t="n">
        <f aca="false">C11*(1-Settings!$F$21)/Settings!$B$33</f>
        <v>0.968888888888889</v>
      </c>
      <c r="D21" s="86" t="n">
        <f aca="false">D11*(1-Settings!$F$21)/Settings!$B$33</f>
        <v>0.968888888888889</v>
      </c>
      <c r="E21" s="86" t="n">
        <f aca="false">E11*(1-Settings!$F$21)/Settings!$B$33</f>
        <v>0.968888888888889</v>
      </c>
      <c r="F21" s="86" t="n">
        <f aca="false">F11*(1-Settings!$F$21)/Settings!$B$33</f>
        <v>0.973888888888889</v>
      </c>
      <c r="G21" s="86" t="n">
        <f aca="false">G11*(1-Settings!$F$21)/Settings!$B$33</f>
        <v>0.980555555555555</v>
      </c>
      <c r="H21" s="86" t="n">
        <f aca="false">H11*(1-Settings!$F$21)/Settings!$B$33</f>
        <v>0.935</v>
      </c>
    </row>
    <row r="22" customFormat="false" ht="15" hidden="false" customHeight="true" outlineLevel="0" collapsed="false">
      <c r="A22" s="84" t="str">
        <f aca="false">Settings!$A$22</f>
        <v>13:30-20:30</v>
      </c>
      <c r="B22" s="86" t="n">
        <f aca="false">B12*(1-Settings!$F$22)/Settings!$B$33</f>
        <v>0.479955357142857</v>
      </c>
      <c r="C22" s="86" t="n">
        <f aca="false">C12*(1-Settings!$F$22)/Settings!$B$33</f>
        <v>0.749821428571429</v>
      </c>
      <c r="D22" s="86" t="n">
        <f aca="false">D12*(1-Settings!$F$22)/Settings!$B$33</f>
        <v>0.749821428571429</v>
      </c>
      <c r="E22" s="86" t="n">
        <f aca="false">E12*(1-Settings!$F$22)/Settings!$B$33</f>
        <v>0.749821428571429</v>
      </c>
      <c r="F22" s="86" t="n">
        <f aca="false">F12*(1-Settings!$F$22)/Settings!$B$33</f>
        <v>0.7678125</v>
      </c>
      <c r="G22" s="86" t="n">
        <f aca="false">G12*(1-Settings!$F$22)/Settings!$B$33</f>
        <v>0.792767857142857</v>
      </c>
      <c r="H22" s="86" t="n">
        <f aca="false">H12*(1-Settings!$F$22)/Settings!$B$33</f>
        <v>0.708616071428572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2026-03-12T13:07:19Z</dcterms:created>
  <dc:creator>openpyxl</dc:creator>
  <dc:description/>
  <dc:language>en-US</dc:language>
  <cp:lastModifiedBy>GSGBB20028 </cp:lastModifiedBy>
  <dcterms:modified xsi:type="dcterms:W3CDTF">2026-09-22T06:53:07Z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